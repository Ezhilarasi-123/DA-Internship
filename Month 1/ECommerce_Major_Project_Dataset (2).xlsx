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ezhilarasi.k\OneDrive\Documents\MINIPROJECT 2\"/>
    </mc:Choice>
  </mc:AlternateContent>
  <xr:revisionPtr revIDLastSave="0" documentId="13_ncr:1_{DA0B9729-CF90-4056-A34E-7735A079E543}" xr6:coauthVersionLast="47" xr6:coauthVersionMax="47" xr10:uidLastSave="{00000000-0000-0000-0000-000000000000}"/>
  <bookViews>
    <workbookView xWindow="-108" yWindow="-108" windowWidth="23256" windowHeight="12456" activeTab="4" xr2:uid="{00000000-000D-0000-FFFF-FFFF00000000}"/>
  </bookViews>
  <sheets>
    <sheet name="Sales_Data" sheetId="1" r:id="rId1"/>
    <sheet name="Customer_Master" sheetId="2" r:id="rId2"/>
    <sheet name="Product_Master" sheetId="3" r:id="rId3"/>
    <sheet name="Monthly_Summary" sheetId="4" r:id="rId4"/>
    <sheet name="Dashboard" sheetId="5" r:id="rId5"/>
  </sheets>
  <externalReferences>
    <externalReference r:id="rId6"/>
  </externalReferences>
  <definedNames>
    <definedName name="_xlchart.v2.0" hidden="1">Sales_Data!$AA$11:$AA$14</definedName>
    <definedName name="_xlchart.v2.1" hidden="1">Sales_Data!$Y$11:$Y$14</definedName>
    <definedName name="_xlchart.v2.2" hidden="1">Sales_Data!$Z$11:$Z$14</definedName>
    <definedName name="_xlchart.v2.3" hidden="1">Sales_Data!$AA$11:$AA$14</definedName>
    <definedName name="_xlchart.v2.4" hidden="1">Sales_Data!$Y$11:$Y$14</definedName>
    <definedName name="_xlchart.v2.5" hidden="1">Sales_Data!$Z$11:$Z$14</definedName>
    <definedName name="Slicer_Category">#N/A</definedName>
    <definedName name="Slicer_City">#N/A</definedName>
    <definedName name="Slicer_Month">#N/A</definedName>
  </definedNames>
  <calcPr calcId="191029"/>
  <pivotCaches>
    <pivotCache cacheId="0" r:id="rId7"/>
    <pivotCache cacheId="1" r:id="rId8"/>
    <pivotCache cacheId="2" r:id="rId9"/>
    <pivotCache cacheId="3" r:id="rId10"/>
    <pivotCache cacheId="4"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6" i="1" l="1" a="1"/>
  <c r="Y6" i="1" s="1"/>
  <c r="N2" i="2"/>
  <c r="E23" i="4"/>
  <c r="Y20" i="1"/>
  <c r="Y4" i="1" a="1"/>
  <c r="Y4" i="1" s="1"/>
  <c r="Z11" i="1"/>
  <c r="J21" i="4"/>
  <c r="P3" i="1"/>
  <c r="P4" i="1"/>
  <c r="Q4" i="1" s="1"/>
  <c r="P5" i="1"/>
  <c r="P6" i="1"/>
  <c r="P7" i="1"/>
  <c r="P8" i="1"/>
  <c r="Q8" i="1" s="1"/>
  <c r="P9" i="1"/>
  <c r="Q9" i="1" s="1"/>
  <c r="P10" i="1"/>
  <c r="P11" i="1"/>
  <c r="P12" i="1"/>
  <c r="P13" i="1"/>
  <c r="P14" i="1"/>
  <c r="P15" i="1"/>
  <c r="Q15" i="1" s="1"/>
  <c r="P16" i="1"/>
  <c r="Q16" i="1" s="1"/>
  <c r="P17" i="1"/>
  <c r="Q17" i="1" s="1"/>
  <c r="P18" i="1"/>
  <c r="Q18" i="1" s="1"/>
  <c r="P19" i="1"/>
  <c r="Q19" i="1" s="1"/>
  <c r="P20" i="1"/>
  <c r="Q20" i="1" s="1"/>
  <c r="P21" i="1"/>
  <c r="Q21" i="1" s="1"/>
  <c r="P22" i="1"/>
  <c r="Q22" i="1" s="1"/>
  <c r="P23" i="1"/>
  <c r="Q23" i="1" s="1"/>
  <c r="P24" i="1"/>
  <c r="Q24" i="1" s="1"/>
  <c r="P25" i="1"/>
  <c r="Q25" i="1" s="1"/>
  <c r="P26" i="1"/>
  <c r="Q26" i="1" s="1"/>
  <c r="P27" i="1"/>
  <c r="P28" i="1"/>
  <c r="Q28" i="1" s="1"/>
  <c r="P29" i="1"/>
  <c r="P30" i="1"/>
  <c r="Q30" i="1" s="1"/>
  <c r="P31" i="1"/>
  <c r="Q31" i="1" s="1"/>
  <c r="P32" i="1"/>
  <c r="Q32" i="1" s="1"/>
  <c r="P33" i="1"/>
  <c r="Q33" i="1" s="1"/>
  <c r="P34" i="1"/>
  <c r="Q34" i="1" s="1"/>
  <c r="P35" i="1"/>
  <c r="Q35" i="1" s="1"/>
  <c r="P36" i="1"/>
  <c r="Q36" i="1" s="1"/>
  <c r="P37" i="1"/>
  <c r="Q37" i="1" s="1"/>
  <c r="P38" i="1"/>
  <c r="Q38" i="1" s="1"/>
  <c r="P39" i="1"/>
  <c r="P40" i="1"/>
  <c r="Q40" i="1" s="1"/>
  <c r="P41" i="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P64" i="1"/>
  <c r="Q64" i="1" s="1"/>
  <c r="P65" i="1"/>
  <c r="P66" i="1"/>
  <c r="P67" i="1"/>
  <c r="P68" i="1"/>
  <c r="P69" i="1"/>
  <c r="P70" i="1"/>
  <c r="Q70" i="1" s="1"/>
  <c r="P71" i="1"/>
  <c r="Q71" i="1" s="1"/>
  <c r="P72" i="1"/>
  <c r="Q72" i="1" s="1"/>
  <c r="P73" i="1"/>
  <c r="Q73" i="1" s="1"/>
  <c r="P74" i="1"/>
  <c r="Q74" i="1" s="1"/>
  <c r="P75" i="1"/>
  <c r="P76" i="1"/>
  <c r="Q76" i="1" s="1"/>
  <c r="P77" i="1"/>
  <c r="Q77" i="1" s="1"/>
  <c r="P78" i="1"/>
  <c r="Q78" i="1" s="1"/>
  <c r="P79" i="1"/>
  <c r="Q79" i="1" s="1"/>
  <c r="P80" i="1"/>
  <c r="Q80" i="1" s="1"/>
  <c r="P81" i="1"/>
  <c r="Q81" i="1" s="1"/>
  <c r="P82" i="1"/>
  <c r="Q82" i="1" s="1"/>
  <c r="P83" i="1"/>
  <c r="Q83" i="1" s="1"/>
  <c r="P84" i="1"/>
  <c r="Q84" i="1" s="1"/>
  <c r="P85" i="1"/>
  <c r="Q85" i="1" s="1"/>
  <c r="P86" i="1"/>
  <c r="Q86" i="1" s="1"/>
  <c r="P87" i="1"/>
  <c r="P88" i="1"/>
  <c r="Q88" i="1" s="1"/>
  <c r="P89" i="1"/>
  <c r="P90" i="1"/>
  <c r="Q90" i="1" s="1"/>
  <c r="P91" i="1"/>
  <c r="Q91" i="1" s="1"/>
  <c r="P92" i="1"/>
  <c r="Q92" i="1" s="1"/>
  <c r="P93" i="1"/>
  <c r="Q93" i="1" s="1"/>
  <c r="P94" i="1"/>
  <c r="Q94" i="1" s="1"/>
  <c r="P95" i="1"/>
  <c r="Q95" i="1" s="1"/>
  <c r="P96" i="1"/>
  <c r="Q96" i="1" s="1"/>
  <c r="P97" i="1"/>
  <c r="Q97" i="1" s="1"/>
  <c r="P98" i="1"/>
  <c r="Q98" i="1" s="1"/>
  <c r="P99" i="1"/>
  <c r="P100" i="1"/>
  <c r="Q100" i="1" s="1"/>
  <c r="P101" i="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P121" i="1"/>
  <c r="Q121" i="1" s="1"/>
  <c r="P122" i="1"/>
  <c r="Q122" i="1" s="1"/>
  <c r="P123" i="1"/>
  <c r="P124" i="1"/>
  <c r="Q124" i="1" s="1"/>
  <c r="P125" i="1"/>
  <c r="P126" i="1"/>
  <c r="P127" i="1"/>
  <c r="Q127" i="1" s="1"/>
  <c r="P128" i="1"/>
  <c r="Q128" i="1" s="1"/>
  <c r="P129" i="1"/>
  <c r="Q129" i="1" s="1"/>
  <c r="P130" i="1"/>
  <c r="Q130" i="1" s="1"/>
  <c r="P131" i="1"/>
  <c r="Q131" i="1" s="1"/>
  <c r="P132" i="1"/>
  <c r="Q132" i="1" s="1"/>
  <c r="P133" i="1"/>
  <c r="Q133" i="1" s="1"/>
  <c r="P134" i="1"/>
  <c r="Q134" i="1" s="1"/>
  <c r="P135" i="1"/>
  <c r="P136" i="1"/>
  <c r="Q136" i="1" s="1"/>
  <c r="P137" i="1"/>
  <c r="P138" i="1"/>
  <c r="Q138" i="1" s="1"/>
  <c r="P139" i="1"/>
  <c r="Q139" i="1" s="1"/>
  <c r="P140" i="1"/>
  <c r="Q140" i="1" s="1"/>
  <c r="P141" i="1"/>
  <c r="Q141" i="1" s="1"/>
  <c r="P142" i="1"/>
  <c r="Q142" i="1" s="1"/>
  <c r="P143" i="1"/>
  <c r="Q143" i="1" s="1"/>
  <c r="P144" i="1"/>
  <c r="P145" i="1"/>
  <c r="Q145" i="1" s="1"/>
  <c r="P146" i="1"/>
  <c r="Q146" i="1" s="1"/>
  <c r="P147" i="1"/>
  <c r="P148" i="1"/>
  <c r="Q148" i="1" s="1"/>
  <c r="P149" i="1"/>
  <c r="P150" i="1"/>
  <c r="P151" i="1"/>
  <c r="P152" i="1"/>
  <c r="P153" i="1"/>
  <c r="P154" i="1"/>
  <c r="Q154" i="1" s="1"/>
  <c r="P155" i="1"/>
  <c r="Q155" i="1" s="1"/>
  <c r="P156" i="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P172" i="1"/>
  <c r="P173" i="1"/>
  <c r="P174" i="1"/>
  <c r="Q174" i="1" s="1"/>
  <c r="P175" i="1"/>
  <c r="Q175" i="1" s="1"/>
  <c r="P176" i="1"/>
  <c r="Q176" i="1" s="1"/>
  <c r="P177" i="1"/>
  <c r="Q177" i="1" s="1"/>
  <c r="P178" i="1"/>
  <c r="Q178" i="1" s="1"/>
  <c r="P179" i="1"/>
  <c r="Q179" i="1" s="1"/>
  <c r="P180" i="1"/>
  <c r="Q180" i="1" s="1"/>
  <c r="P181" i="1"/>
  <c r="Q181" i="1" s="1"/>
  <c r="P182" i="1"/>
  <c r="Q182" i="1" s="1"/>
  <c r="P183" i="1"/>
  <c r="P184" i="1"/>
  <c r="Q184" i="1" s="1"/>
  <c r="P185" i="1"/>
  <c r="P186" i="1"/>
  <c r="P187" i="1"/>
  <c r="P188" i="1"/>
  <c r="Q188" i="1" s="1"/>
  <c r="P189" i="1"/>
  <c r="Q189" i="1" s="1"/>
  <c r="P190" i="1"/>
  <c r="Q190" i="1" s="1"/>
  <c r="P191" i="1"/>
  <c r="Q191" i="1" s="1"/>
  <c r="P192" i="1"/>
  <c r="Q192" i="1" s="1"/>
  <c r="P193" i="1"/>
  <c r="Q193" i="1" s="1"/>
  <c r="P194" i="1"/>
  <c r="Q194" i="1" s="1"/>
  <c r="P195" i="1"/>
  <c r="P196" i="1"/>
  <c r="Q196" i="1" s="1"/>
  <c r="P197" i="1"/>
  <c r="Q197" i="1" s="1"/>
  <c r="P198" i="1"/>
  <c r="Q198" i="1" s="1"/>
  <c r="P199" i="1"/>
  <c r="Q199" i="1" s="1"/>
  <c r="P200" i="1"/>
  <c r="Q200" i="1" s="1"/>
  <c r="P201" i="1"/>
  <c r="Q201" i="1" s="1"/>
  <c r="P202" i="1"/>
  <c r="Q202" i="1" s="1"/>
  <c r="P203" i="1"/>
  <c r="Q203" i="1" s="1"/>
  <c r="P204" i="1"/>
  <c r="Q204" i="1" s="1"/>
  <c r="P205" i="1"/>
  <c r="Q205" i="1" s="1"/>
  <c r="P206" i="1"/>
  <c r="Q206" i="1" s="1"/>
  <c r="P207" i="1"/>
  <c r="P208" i="1"/>
  <c r="Q208" i="1" s="1"/>
  <c r="P209" i="1"/>
  <c r="P210" i="1"/>
  <c r="P211" i="1"/>
  <c r="P212" i="1"/>
  <c r="P213" i="1"/>
  <c r="P214" i="1"/>
  <c r="Q214" i="1" s="1"/>
  <c r="P215" i="1"/>
  <c r="Q215" i="1" s="1"/>
  <c r="P216" i="1"/>
  <c r="Q216" i="1" s="1"/>
  <c r="P217" i="1"/>
  <c r="Q217" i="1" s="1"/>
  <c r="P218" i="1"/>
  <c r="Q218" i="1" s="1"/>
  <c r="P219" i="1"/>
  <c r="Q219" i="1" s="1"/>
  <c r="P220" i="1"/>
  <c r="Q220" i="1" s="1"/>
  <c r="P221" i="1"/>
  <c r="Q221" i="1" s="1"/>
  <c r="P222" i="1"/>
  <c r="Q222" i="1" s="1"/>
  <c r="P223" i="1"/>
  <c r="Q223" i="1" s="1"/>
  <c r="P224" i="1"/>
  <c r="Q224" i="1" s="1"/>
  <c r="P225" i="1"/>
  <c r="Q225" i="1" s="1"/>
  <c r="P226" i="1"/>
  <c r="P227" i="1"/>
  <c r="Q227" i="1" s="1"/>
  <c r="P228" i="1"/>
  <c r="Q228" i="1" s="1"/>
  <c r="P229" i="1"/>
  <c r="Q229" i="1" s="1"/>
  <c r="P230" i="1"/>
  <c r="Q230" i="1" s="1"/>
  <c r="P231" i="1"/>
  <c r="P232" i="1"/>
  <c r="Q232" i="1" s="1"/>
  <c r="P233" i="1"/>
  <c r="P234" i="1"/>
  <c r="Q234" i="1" s="1"/>
  <c r="P235" i="1"/>
  <c r="Q235" i="1" s="1"/>
  <c r="P236" i="1"/>
  <c r="Q236" i="1" s="1"/>
  <c r="P237" i="1"/>
  <c r="Q237" i="1" s="1"/>
  <c r="P238" i="1"/>
  <c r="Q238" i="1" s="1"/>
  <c r="P239" i="1"/>
  <c r="Q239" i="1" s="1"/>
  <c r="P240" i="1"/>
  <c r="Q240" i="1" s="1"/>
  <c r="P241" i="1"/>
  <c r="Q241" i="1" s="1"/>
  <c r="P242" i="1"/>
  <c r="Q242" i="1" s="1"/>
  <c r="P243" i="1"/>
  <c r="P244" i="1"/>
  <c r="Q244" i="1" s="1"/>
  <c r="P245" i="1"/>
  <c r="P246" i="1"/>
  <c r="Q246" i="1" s="1"/>
  <c r="P247" i="1"/>
  <c r="Q247" i="1" s="1"/>
  <c r="P248" i="1"/>
  <c r="Q248" i="1" s="1"/>
  <c r="P249" i="1"/>
  <c r="Q249" i="1" s="1"/>
  <c r="P250" i="1"/>
  <c r="Q250" i="1" s="1"/>
  <c r="P251" i="1"/>
  <c r="Q251" i="1" s="1"/>
  <c r="P252" i="1"/>
  <c r="Q252" i="1" s="1"/>
  <c r="P253" i="1"/>
  <c r="Q253" i="1" s="1"/>
  <c r="P254" i="1"/>
  <c r="Q254" i="1" s="1"/>
  <c r="P255" i="1"/>
  <c r="P256" i="1"/>
  <c r="P257" i="1"/>
  <c r="P258" i="1"/>
  <c r="Q258" i="1" s="1"/>
  <c r="P259" i="1"/>
  <c r="Q259" i="1" s="1"/>
  <c r="P260" i="1"/>
  <c r="Q260" i="1" s="1"/>
  <c r="P261" i="1"/>
  <c r="Q261" i="1" s="1"/>
  <c r="P262" i="1"/>
  <c r="Q262" i="1" s="1"/>
  <c r="P263" i="1"/>
  <c r="Q263" i="1" s="1"/>
  <c r="P264" i="1"/>
  <c r="Q264" i="1" s="1"/>
  <c r="P265" i="1"/>
  <c r="Q265" i="1" s="1"/>
  <c r="P266" i="1"/>
  <c r="Q266" i="1" s="1"/>
  <c r="P267" i="1"/>
  <c r="Q267" i="1" s="1"/>
  <c r="P268" i="1"/>
  <c r="Q268" i="1" s="1"/>
  <c r="P269" i="1"/>
  <c r="Q269" i="1" s="1"/>
  <c r="P270" i="1"/>
  <c r="Q270" i="1" s="1"/>
  <c r="P271" i="1"/>
  <c r="Q271" i="1" s="1"/>
  <c r="P272" i="1"/>
  <c r="Q272" i="1" s="1"/>
  <c r="P273" i="1"/>
  <c r="Q273" i="1" s="1"/>
  <c r="P274" i="1"/>
  <c r="Q274" i="1" s="1"/>
  <c r="P275" i="1"/>
  <c r="Q275" i="1" s="1"/>
  <c r="P276" i="1"/>
  <c r="Q276" i="1" s="1"/>
  <c r="P277" i="1"/>
  <c r="Q277" i="1" s="1"/>
  <c r="P278" i="1"/>
  <c r="Q278" i="1" s="1"/>
  <c r="P279" i="1"/>
  <c r="P280" i="1"/>
  <c r="Q280" i="1" s="1"/>
  <c r="P281" i="1"/>
  <c r="P282" i="1"/>
  <c r="Q282" i="1" s="1"/>
  <c r="P283" i="1"/>
  <c r="Q283" i="1" s="1"/>
  <c r="P284" i="1"/>
  <c r="Q284" i="1" s="1"/>
  <c r="P285" i="1"/>
  <c r="Q285" i="1" s="1"/>
  <c r="P286" i="1"/>
  <c r="Q286" i="1" s="1"/>
  <c r="P287" i="1"/>
  <c r="Q287" i="1" s="1"/>
  <c r="P288" i="1"/>
  <c r="Q288" i="1" s="1"/>
  <c r="P289" i="1"/>
  <c r="Q289" i="1" s="1"/>
  <c r="P290" i="1"/>
  <c r="Q290" i="1" s="1"/>
  <c r="P291" i="1"/>
  <c r="P292" i="1"/>
  <c r="Q292" i="1" s="1"/>
  <c r="P293" i="1"/>
  <c r="Q293" i="1" s="1"/>
  <c r="P294" i="1"/>
  <c r="Q294" i="1" s="1"/>
  <c r="P295" i="1"/>
  <c r="Q295" i="1" s="1"/>
  <c r="P296" i="1"/>
  <c r="Q296" i="1" s="1"/>
  <c r="P297" i="1"/>
  <c r="Q297" i="1" s="1"/>
  <c r="P298" i="1"/>
  <c r="Q298" i="1" s="1"/>
  <c r="P299" i="1"/>
  <c r="Q299" i="1" s="1"/>
  <c r="P300" i="1"/>
  <c r="Q300" i="1" s="1"/>
  <c r="P301" i="1"/>
  <c r="Q301" i="1" s="1"/>
  <c r="P302" i="1"/>
  <c r="Q302" i="1" s="1"/>
  <c r="P303" i="1"/>
  <c r="Q303" i="1" s="1"/>
  <c r="P304" i="1"/>
  <c r="Q304" i="1" s="1"/>
  <c r="P305" i="1"/>
  <c r="Q305" i="1" s="1"/>
  <c r="P306" i="1"/>
  <c r="Q306" i="1" s="1"/>
  <c r="P307" i="1"/>
  <c r="Q307" i="1" s="1"/>
  <c r="P308" i="1"/>
  <c r="Q308" i="1" s="1"/>
  <c r="P309" i="1"/>
  <c r="Q309" i="1" s="1"/>
  <c r="P310" i="1"/>
  <c r="Q310" i="1" s="1"/>
  <c r="P311" i="1"/>
  <c r="Q311" i="1" s="1"/>
  <c r="P312" i="1"/>
  <c r="Q312" i="1" s="1"/>
  <c r="P313" i="1"/>
  <c r="Q313" i="1" s="1"/>
  <c r="P314" i="1"/>
  <c r="Q314" i="1" s="1"/>
  <c r="P315" i="1"/>
  <c r="P316" i="1"/>
  <c r="Q316" i="1" s="1"/>
  <c r="P317" i="1"/>
  <c r="P318" i="1"/>
  <c r="Q318" i="1" s="1"/>
  <c r="P319" i="1"/>
  <c r="Q319" i="1" s="1"/>
  <c r="P320" i="1"/>
  <c r="Q320" i="1" s="1"/>
  <c r="P321" i="1"/>
  <c r="Q321" i="1" s="1"/>
  <c r="P322" i="1"/>
  <c r="Q322" i="1" s="1"/>
  <c r="P323" i="1"/>
  <c r="Q323" i="1" s="1"/>
  <c r="P324" i="1"/>
  <c r="Q324" i="1" s="1"/>
  <c r="P325" i="1"/>
  <c r="Q325" i="1" s="1"/>
  <c r="P326" i="1"/>
  <c r="Q326" i="1" s="1"/>
  <c r="P327" i="1"/>
  <c r="P328" i="1"/>
  <c r="Q328" i="1" s="1"/>
  <c r="P329" i="1"/>
  <c r="P330" i="1"/>
  <c r="Q330" i="1" s="1"/>
  <c r="P331" i="1"/>
  <c r="Q331" i="1" s="1"/>
  <c r="P332" i="1"/>
  <c r="P333" i="1"/>
  <c r="Q333" i="1" s="1"/>
  <c r="P334" i="1"/>
  <c r="Q334" i="1" s="1"/>
  <c r="P335" i="1"/>
  <c r="Q335" i="1" s="1"/>
  <c r="P336" i="1"/>
  <c r="Q336" i="1" s="1"/>
  <c r="P337" i="1"/>
  <c r="Q337" i="1" s="1"/>
  <c r="P338" i="1"/>
  <c r="Q338" i="1" s="1"/>
  <c r="P339" i="1"/>
  <c r="P340" i="1"/>
  <c r="Q340" i="1" s="1"/>
  <c r="P341" i="1"/>
  <c r="Q341" i="1" s="1"/>
  <c r="P342" i="1"/>
  <c r="Q342" i="1" s="1"/>
  <c r="P343" i="1"/>
  <c r="Q343" i="1" s="1"/>
  <c r="P344" i="1"/>
  <c r="Q344" i="1" s="1"/>
  <c r="P345" i="1"/>
  <c r="Q345" i="1" s="1"/>
  <c r="P346" i="1"/>
  <c r="Q346" i="1" s="1"/>
  <c r="P347" i="1"/>
  <c r="Q347" i="1" s="1"/>
  <c r="P348" i="1"/>
  <c r="Q348" i="1" s="1"/>
  <c r="P349" i="1"/>
  <c r="Q349" i="1" s="1"/>
  <c r="P350" i="1"/>
  <c r="Q350" i="1" s="1"/>
  <c r="P351" i="1"/>
  <c r="P352" i="1"/>
  <c r="Q352" i="1" s="1"/>
  <c r="P353" i="1"/>
  <c r="P354" i="1"/>
  <c r="Q354" i="1" s="1"/>
  <c r="P355" i="1"/>
  <c r="Q355" i="1" s="1"/>
  <c r="P356" i="1"/>
  <c r="Q356" i="1" s="1"/>
  <c r="P357" i="1"/>
  <c r="Q357" i="1" s="1"/>
  <c r="P358" i="1"/>
  <c r="Q358" i="1" s="1"/>
  <c r="P359" i="1"/>
  <c r="Q359" i="1" s="1"/>
  <c r="P360" i="1"/>
  <c r="Q360" i="1" s="1"/>
  <c r="P361" i="1"/>
  <c r="Q361" i="1" s="1"/>
  <c r="P362" i="1"/>
  <c r="Q362" i="1" s="1"/>
  <c r="P363" i="1"/>
  <c r="P364" i="1"/>
  <c r="Q364" i="1" s="1"/>
  <c r="P365" i="1"/>
  <c r="P366" i="1"/>
  <c r="Q366" i="1" s="1"/>
  <c r="P367" i="1"/>
  <c r="Q367" i="1" s="1"/>
  <c r="P368" i="1"/>
  <c r="Q368" i="1" s="1"/>
  <c r="P369" i="1"/>
  <c r="Q369" i="1" s="1"/>
  <c r="P370" i="1"/>
  <c r="Q370" i="1" s="1"/>
  <c r="P371" i="1"/>
  <c r="Q371" i="1" s="1"/>
  <c r="P372" i="1"/>
  <c r="Q372" i="1" s="1"/>
  <c r="P373" i="1"/>
  <c r="Q373" i="1" s="1"/>
  <c r="P374" i="1"/>
  <c r="Q374" i="1" s="1"/>
  <c r="P375" i="1"/>
  <c r="P376" i="1"/>
  <c r="Q376" i="1" s="1"/>
  <c r="P377" i="1"/>
  <c r="P378" i="1"/>
  <c r="P379" i="1"/>
  <c r="Q379" i="1" s="1"/>
  <c r="P380" i="1"/>
  <c r="Q380" i="1" s="1"/>
  <c r="P381" i="1"/>
  <c r="Q381" i="1" s="1"/>
  <c r="P382" i="1"/>
  <c r="Q382" i="1" s="1"/>
  <c r="P383" i="1"/>
  <c r="Q383" i="1" s="1"/>
  <c r="P384" i="1"/>
  <c r="Q384" i="1" s="1"/>
  <c r="P385" i="1"/>
  <c r="Q385" i="1" s="1"/>
  <c r="P386" i="1"/>
  <c r="Q386" i="1" s="1"/>
  <c r="P387" i="1"/>
  <c r="P388" i="1"/>
  <c r="P389" i="1"/>
  <c r="P390" i="1"/>
  <c r="Q390" i="1" s="1"/>
  <c r="P391" i="1"/>
  <c r="Q391" i="1" s="1"/>
  <c r="P392" i="1"/>
  <c r="Q392" i="1" s="1"/>
  <c r="P393" i="1"/>
  <c r="Q393" i="1" s="1"/>
  <c r="P394" i="1"/>
  <c r="Q394" i="1" s="1"/>
  <c r="P395" i="1"/>
  <c r="Q395" i="1" s="1"/>
  <c r="P396" i="1"/>
  <c r="P397" i="1"/>
  <c r="Q397" i="1" s="1"/>
  <c r="P398" i="1"/>
  <c r="Q398" i="1" s="1"/>
  <c r="P399" i="1"/>
  <c r="P400" i="1"/>
  <c r="Q400" i="1" s="1"/>
  <c r="P401" i="1"/>
  <c r="P402" i="1"/>
  <c r="Q402" i="1" s="1"/>
  <c r="P403" i="1"/>
  <c r="Q403" i="1" s="1"/>
  <c r="P404" i="1"/>
  <c r="Q404" i="1" s="1"/>
  <c r="P405" i="1"/>
  <c r="Q405" i="1" s="1"/>
  <c r="P406" i="1"/>
  <c r="Q406" i="1" s="1"/>
  <c r="P407" i="1"/>
  <c r="Q407" i="1" s="1"/>
  <c r="P408" i="1"/>
  <c r="Q408" i="1" s="1"/>
  <c r="P409" i="1"/>
  <c r="Q409" i="1" s="1"/>
  <c r="P410" i="1"/>
  <c r="Q410" i="1" s="1"/>
  <c r="P411" i="1"/>
  <c r="Q411" i="1" s="1"/>
  <c r="P412" i="1"/>
  <c r="Q412" i="1" s="1"/>
  <c r="P413" i="1"/>
  <c r="Q413" i="1" s="1"/>
  <c r="P414" i="1"/>
  <c r="Q414" i="1" s="1"/>
  <c r="P415" i="1"/>
  <c r="Q415" i="1" s="1"/>
  <c r="P416" i="1"/>
  <c r="Q416" i="1" s="1"/>
  <c r="P417" i="1"/>
  <c r="Q417" i="1" s="1"/>
  <c r="P418" i="1"/>
  <c r="Q418" i="1" s="1"/>
  <c r="P419" i="1"/>
  <c r="Q419" i="1" s="1"/>
  <c r="P420" i="1"/>
  <c r="Q420" i="1" s="1"/>
  <c r="P421" i="1"/>
  <c r="P422" i="1"/>
  <c r="Q422" i="1" s="1"/>
  <c r="P423" i="1"/>
  <c r="P424" i="1"/>
  <c r="Q424" i="1" s="1"/>
  <c r="P425" i="1"/>
  <c r="P426" i="1"/>
  <c r="Q426" i="1" s="1"/>
  <c r="P427" i="1"/>
  <c r="Q427" i="1" s="1"/>
  <c r="P428" i="1"/>
  <c r="Q428" i="1" s="1"/>
  <c r="P429" i="1"/>
  <c r="Q429" i="1" s="1"/>
  <c r="P430" i="1"/>
  <c r="Q430" i="1" s="1"/>
  <c r="P431" i="1"/>
  <c r="Q431" i="1" s="1"/>
  <c r="P432" i="1"/>
  <c r="Q432" i="1" s="1"/>
  <c r="P433" i="1"/>
  <c r="Q433" i="1" s="1"/>
  <c r="P434" i="1"/>
  <c r="Q434" i="1" s="1"/>
  <c r="P435" i="1"/>
  <c r="Q435" i="1" s="1"/>
  <c r="P436" i="1"/>
  <c r="Q436" i="1" s="1"/>
  <c r="P437" i="1"/>
  <c r="Q437" i="1" s="1"/>
  <c r="P438" i="1"/>
  <c r="Q438" i="1" s="1"/>
  <c r="P439" i="1"/>
  <c r="Q439" i="1" s="1"/>
  <c r="P440" i="1"/>
  <c r="Q440" i="1" s="1"/>
  <c r="P441" i="1"/>
  <c r="Q441" i="1" s="1"/>
  <c r="P442" i="1"/>
  <c r="Q442" i="1" s="1"/>
  <c r="P443" i="1"/>
  <c r="Q443" i="1" s="1"/>
  <c r="P444" i="1"/>
  <c r="Q444" i="1" s="1"/>
  <c r="P445" i="1"/>
  <c r="Q445" i="1" s="1"/>
  <c r="P446" i="1"/>
  <c r="Q446" i="1" s="1"/>
  <c r="P447" i="1"/>
  <c r="P448" i="1"/>
  <c r="Q448" i="1" s="1"/>
  <c r="P449" i="1"/>
  <c r="P450" i="1"/>
  <c r="Q450" i="1" s="1"/>
  <c r="P451" i="1"/>
  <c r="Q451" i="1" s="1"/>
  <c r="P452" i="1"/>
  <c r="Q452" i="1" s="1"/>
  <c r="P453" i="1"/>
  <c r="Q453" i="1" s="1"/>
  <c r="P454" i="1"/>
  <c r="Q454" i="1" s="1"/>
  <c r="P455" i="1"/>
  <c r="Q455" i="1" s="1"/>
  <c r="P456" i="1"/>
  <c r="Q456" i="1" s="1"/>
  <c r="P457" i="1"/>
  <c r="Q457" i="1" s="1"/>
  <c r="P458" i="1"/>
  <c r="Q458" i="1" s="1"/>
  <c r="P459" i="1"/>
  <c r="Q459" i="1" s="1"/>
  <c r="P460" i="1"/>
  <c r="Q460" i="1" s="1"/>
  <c r="P461" i="1"/>
  <c r="Q461" i="1" s="1"/>
  <c r="P462" i="1"/>
  <c r="Q462" i="1" s="1"/>
  <c r="P463" i="1"/>
  <c r="Q463" i="1" s="1"/>
  <c r="P464" i="1"/>
  <c r="Q464" i="1" s="1"/>
  <c r="P465" i="1"/>
  <c r="Q465" i="1" s="1"/>
  <c r="P466" i="1"/>
  <c r="Q466" i="1" s="1"/>
  <c r="P467" i="1"/>
  <c r="Q467" i="1" s="1"/>
  <c r="P468" i="1"/>
  <c r="Q468" i="1" s="1"/>
  <c r="P469" i="1"/>
  <c r="Q469" i="1" s="1"/>
  <c r="P470" i="1"/>
  <c r="Q470" i="1" s="1"/>
  <c r="P471" i="1"/>
  <c r="P472" i="1"/>
  <c r="P473" i="1"/>
  <c r="P474" i="1"/>
  <c r="P475" i="1"/>
  <c r="P476" i="1"/>
  <c r="Q476" i="1" s="1"/>
  <c r="P477" i="1"/>
  <c r="Q477" i="1" s="1"/>
  <c r="P478" i="1"/>
  <c r="Q478" i="1" s="1"/>
  <c r="P479" i="1"/>
  <c r="Q479" i="1" s="1"/>
  <c r="P480" i="1"/>
  <c r="Q480" i="1" s="1"/>
  <c r="P481" i="1"/>
  <c r="Q481" i="1" s="1"/>
  <c r="P482" i="1"/>
  <c r="Q482" i="1" s="1"/>
  <c r="P483" i="1"/>
  <c r="P484" i="1"/>
  <c r="Q484" i="1" s="1"/>
  <c r="P485" i="1"/>
  <c r="P486" i="1"/>
  <c r="Q486" i="1" s="1"/>
  <c r="P487" i="1"/>
  <c r="Q487" i="1" s="1"/>
  <c r="P488" i="1"/>
  <c r="Q488" i="1" s="1"/>
  <c r="P489" i="1"/>
  <c r="Q489" i="1" s="1"/>
  <c r="P490" i="1"/>
  <c r="Q490" i="1" s="1"/>
  <c r="P491" i="1"/>
  <c r="Q491" i="1" s="1"/>
  <c r="P492" i="1"/>
  <c r="Q492" i="1" s="1"/>
  <c r="P493" i="1"/>
  <c r="Q493" i="1" s="1"/>
  <c r="P494" i="1"/>
  <c r="Q494" i="1" s="1"/>
  <c r="P495" i="1"/>
  <c r="P496" i="1"/>
  <c r="Q496" i="1" s="1"/>
  <c r="P497" i="1"/>
  <c r="Q497" i="1" s="1"/>
  <c r="P498" i="1"/>
  <c r="Q498" i="1" s="1"/>
  <c r="P499" i="1"/>
  <c r="Q499" i="1" s="1"/>
  <c r="P500" i="1"/>
  <c r="Q500" i="1" s="1"/>
  <c r="P501" i="1"/>
  <c r="Q501" i="1" s="1"/>
  <c r="Q10" i="1"/>
  <c r="Q11" i="1"/>
  <c r="Q12" i="1"/>
  <c r="Q13" i="1"/>
  <c r="Q14" i="1"/>
  <c r="Q120" i="1"/>
  <c r="Q156" i="1"/>
  <c r="Q226" i="1"/>
  <c r="Q332" i="1"/>
  <c r="Q378" i="1"/>
  <c r="Q396" i="1"/>
  <c r="Q421" i="1"/>
  <c r="O18" i="4"/>
  <c r="N3" i="4"/>
  <c r="N4" i="4"/>
  <c r="N5" i="4"/>
  <c r="N6" i="4"/>
  <c r="N7" i="4"/>
  <c r="N8" i="4"/>
  <c r="N9" i="4"/>
  <c r="N10" i="4"/>
  <c r="N11" i="4"/>
  <c r="N12" i="4"/>
  <c r="N13" i="4"/>
  <c r="N14" i="4"/>
  <c r="N15" i="4"/>
  <c r="N16" i="4"/>
  <c r="N17" i="4"/>
  <c r="N18" i="4"/>
  <c r="N19" i="4"/>
  <c r="N2" i="4"/>
  <c r="M3" i="4"/>
  <c r="M4" i="4"/>
  <c r="M5" i="4"/>
  <c r="M6" i="4"/>
  <c r="M7" i="4"/>
  <c r="M8" i="4"/>
  <c r="M9" i="4"/>
  <c r="M10" i="4"/>
  <c r="M11" i="4"/>
  <c r="M12" i="4"/>
  <c r="M13" i="4"/>
  <c r="M14" i="4"/>
  <c r="M15" i="4"/>
  <c r="M16" i="4"/>
  <c r="M17" i="4"/>
  <c r="M18" i="4"/>
  <c r="M19" i="4"/>
  <c r="M2" i="4"/>
  <c r="L3" i="4"/>
  <c r="L4" i="4"/>
  <c r="L5" i="4"/>
  <c r="L6" i="4"/>
  <c r="L7" i="4"/>
  <c r="L8" i="4"/>
  <c r="L9" i="4"/>
  <c r="L10" i="4"/>
  <c r="L11" i="4"/>
  <c r="L12" i="4"/>
  <c r="L13" i="4"/>
  <c r="L14" i="4"/>
  <c r="L15" i="4"/>
  <c r="L16" i="4"/>
  <c r="L17" i="4"/>
  <c r="L18" i="4"/>
  <c r="L19" i="4"/>
  <c r="L2" i="4"/>
  <c r="K3" i="4"/>
  <c r="O3" i="4" s="1"/>
  <c r="K4" i="4"/>
  <c r="O4" i="4" s="1"/>
  <c r="K5" i="4"/>
  <c r="O5" i="4" s="1"/>
  <c r="K6" i="4"/>
  <c r="O6" i="4" s="1"/>
  <c r="K7" i="4"/>
  <c r="O7" i="4" s="1"/>
  <c r="K8" i="4"/>
  <c r="O8" i="4" s="1"/>
  <c r="K9" i="4"/>
  <c r="O9" i="4" s="1"/>
  <c r="K10" i="4"/>
  <c r="O10" i="4" s="1"/>
  <c r="K11" i="4"/>
  <c r="O11" i="4" s="1"/>
  <c r="K12" i="4"/>
  <c r="O12" i="4" s="1"/>
  <c r="K13" i="4"/>
  <c r="O13" i="4" s="1"/>
  <c r="K14" i="4"/>
  <c r="O14" i="4" s="1"/>
  <c r="K15" i="4"/>
  <c r="O15" i="4" s="1"/>
  <c r="K16" i="4"/>
  <c r="O16" i="4" s="1"/>
  <c r="K17" i="4"/>
  <c r="O17" i="4" s="1"/>
  <c r="K18" i="4"/>
  <c r="K19" i="4"/>
  <c r="O19" i="4" s="1"/>
  <c r="K2" i="4"/>
  <c r="O2" i="4" s="1"/>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2"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3" i="3"/>
  <c r="K4" i="3"/>
  <c r="K5" i="3"/>
  <c r="K6" i="3"/>
  <c r="K7" i="3"/>
  <c r="K8" i="3"/>
  <c r="K9" i="3"/>
  <c r="K10" i="3"/>
  <c r="K11" i="3"/>
  <c r="K12" i="3"/>
  <c r="K13" i="3"/>
  <c r="K14" i="3"/>
  <c r="K15" i="3"/>
  <c r="K16" i="3"/>
  <c r="K17" i="3"/>
  <c r="K18" i="3"/>
  <c r="K19" i="3"/>
  <c r="K20" i="3"/>
  <c r="K21" i="3"/>
  <c r="K22" i="3"/>
  <c r="K23" i="3"/>
  <c r="K24" i="3"/>
  <c r="K25" i="3"/>
  <c r="K26" i="3"/>
  <c r="K27" i="3"/>
  <c r="K2" i="3"/>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2" i="2"/>
  <c r="Z14" i="1" s="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2" i="2"/>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2" i="1"/>
  <c r="Q3" i="1"/>
  <c r="Q5" i="1"/>
  <c r="Q6" i="1"/>
  <c r="Q7" i="1"/>
  <c r="Q27" i="1"/>
  <c r="Q29" i="1"/>
  <c r="Q39" i="1"/>
  <c r="Q41" i="1"/>
  <c r="Q63" i="1"/>
  <c r="Q65" i="1"/>
  <c r="Q66" i="1"/>
  <c r="Q67" i="1"/>
  <c r="Q68" i="1"/>
  <c r="Q69" i="1"/>
  <c r="Q75" i="1"/>
  <c r="Q87" i="1"/>
  <c r="Q89" i="1"/>
  <c r="Q99" i="1"/>
  <c r="Q101" i="1"/>
  <c r="Q123" i="1"/>
  <c r="Q125" i="1"/>
  <c r="Q126" i="1"/>
  <c r="Q135" i="1"/>
  <c r="Q137" i="1"/>
  <c r="Q144" i="1"/>
  <c r="Q147" i="1"/>
  <c r="Q149" i="1"/>
  <c r="Q150" i="1"/>
  <c r="Q151" i="1"/>
  <c r="Q152" i="1"/>
  <c r="Q153" i="1"/>
  <c r="Q171" i="1"/>
  <c r="Q172" i="1"/>
  <c r="Q173" i="1"/>
  <c r="Q183" i="1"/>
  <c r="Q185" i="1"/>
  <c r="Q186" i="1"/>
  <c r="Q187" i="1"/>
  <c r="Q195" i="1"/>
  <c r="Q207" i="1"/>
  <c r="Q209" i="1"/>
  <c r="Q210" i="1"/>
  <c r="Q211" i="1"/>
  <c r="Q212" i="1"/>
  <c r="Q213" i="1"/>
  <c r="Q231" i="1"/>
  <c r="Q233" i="1"/>
  <c r="Q243" i="1"/>
  <c r="Q245" i="1"/>
  <c r="Q255" i="1"/>
  <c r="Q256" i="1"/>
  <c r="Q257" i="1"/>
  <c r="Q279" i="1"/>
  <c r="Q281" i="1"/>
  <c r="Q291" i="1"/>
  <c r="Q315" i="1"/>
  <c r="Q317" i="1"/>
  <c r="Q327" i="1"/>
  <c r="Q329" i="1"/>
  <c r="Q339" i="1"/>
  <c r="Q351" i="1"/>
  <c r="Q353" i="1"/>
  <c r="Q363" i="1"/>
  <c r="Q365" i="1"/>
  <c r="Q375" i="1"/>
  <c r="Q377" i="1"/>
  <c r="Q387" i="1"/>
  <c r="Q388" i="1"/>
  <c r="Q389" i="1"/>
  <c r="Q399" i="1"/>
  <c r="Q401" i="1"/>
  <c r="Q423" i="1"/>
  <c r="Q425" i="1"/>
  <c r="Q447" i="1"/>
  <c r="Q449" i="1"/>
  <c r="Q471" i="1"/>
  <c r="Q472" i="1"/>
  <c r="Q473" i="1"/>
  <c r="Q474" i="1"/>
  <c r="Q475" i="1"/>
  <c r="Q483" i="1"/>
  <c r="Q485" i="1"/>
  <c r="Q495" i="1"/>
  <c r="P2" i="1"/>
  <c r="Q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<sst xmlns="http://schemas.openxmlformats.org/spreadsheetml/2006/main" count="5839" uniqueCount="1272">
  <si>
    <t>Order_ID</t>
  </si>
  <si>
    <t>Order_Date</t>
  </si>
  <si>
    <t>Customer_ID</t>
  </si>
  <si>
    <t>Customer_Name</t>
  </si>
  <si>
    <t>City</t>
  </si>
  <si>
    <t>State</t>
  </si>
  <si>
    <t>Category</t>
  </si>
  <si>
    <t>Product_Name</t>
  </si>
  <si>
    <t>Quantity</t>
  </si>
  <si>
    <t>Unit_Price</t>
  </si>
  <si>
    <t>Discount_Pct</t>
  </si>
  <si>
    <t>Final_Price</t>
  </si>
  <si>
    <t>Payment_Mode</t>
  </si>
  <si>
    <t>Order_Status</t>
  </si>
  <si>
    <t>Delivery_Days</t>
  </si>
  <si>
    <t>ORD0001</t>
  </si>
  <si>
    <t>CUST032</t>
  </si>
  <si>
    <t>Indira Rangasamy</t>
  </si>
  <si>
    <t>Namakkal</t>
  </si>
  <si>
    <t>Tamil Nadu</t>
  </si>
  <si>
    <t>Sports &amp; Fitness</t>
  </si>
  <si>
    <t>Gym Gloves</t>
  </si>
  <si>
    <t>Debit Card</t>
  </si>
  <si>
    <t>Cancelled</t>
  </si>
  <si>
    <t>ORD0002</t>
  </si>
  <si>
    <t>CUST051</t>
  </si>
  <si>
    <t>Bhavana Gopal</t>
  </si>
  <si>
    <t>Hosur</t>
  </si>
  <si>
    <t>Beauty &amp; Personal</t>
  </si>
  <si>
    <t>Perfume 100ml</t>
  </si>
  <si>
    <t>Cash on Delivery</t>
  </si>
  <si>
    <t>Returned</t>
  </si>
  <si>
    <t>ORD0003</t>
  </si>
  <si>
    <t>CUST054</t>
  </si>
  <si>
    <t>Tamilarasi Murugan</t>
  </si>
  <si>
    <t>Tirunelveli</t>
  </si>
  <si>
    <t>Dumbbell Pair 5kg</t>
  </si>
  <si>
    <t>Delivered</t>
  </si>
  <si>
    <t>ORD0004</t>
  </si>
  <si>
    <t>CUST049</t>
  </si>
  <si>
    <t>Oviya Babu</t>
  </si>
  <si>
    <t>Trichy</t>
  </si>
  <si>
    <t>Cycling Helmet</t>
  </si>
  <si>
    <t>UPI</t>
  </si>
  <si>
    <t>ORD0005</t>
  </si>
  <si>
    <t>CUST065</t>
  </si>
  <si>
    <t>Lavanya Velayutham</t>
  </si>
  <si>
    <t>Toys &amp; Baby</t>
  </si>
  <si>
    <t>Kids Drawing Kit</t>
  </si>
  <si>
    <t>ORD0006</t>
  </si>
  <si>
    <t>CUST095</t>
  </si>
  <si>
    <t>Vanitha Natarajan</t>
  </si>
  <si>
    <t>Hyderabad</t>
  </si>
  <si>
    <t>Telangana</t>
  </si>
  <si>
    <t>Grocery</t>
  </si>
  <si>
    <t>Green Tea 25bags</t>
  </si>
  <si>
    <t>ORD0007</t>
  </si>
  <si>
    <t>CUST089</t>
  </si>
  <si>
    <t>Arjun Devi</t>
  </si>
  <si>
    <t>Sunflower Oil 1L</t>
  </si>
  <si>
    <t>ORD0008</t>
  </si>
  <si>
    <t>CUST033</t>
  </si>
  <si>
    <t>Anita Pillai</t>
  </si>
  <si>
    <t>Sports Shoes</t>
  </si>
  <si>
    <t>Pending</t>
  </si>
  <si>
    <t>ORD0009</t>
  </si>
  <si>
    <t>CUST009</t>
  </si>
  <si>
    <t>Anjali Gopal</t>
  </si>
  <si>
    <t>Sivakasi</t>
  </si>
  <si>
    <t>Clothing</t>
  </si>
  <si>
    <t>Women's Kurti</t>
  </si>
  <si>
    <t>Net Banking</t>
  </si>
  <si>
    <t>ORD0010</t>
  </si>
  <si>
    <t>CUST097</t>
  </si>
  <si>
    <t>Aarav Ramasamy</t>
  </si>
  <si>
    <t>Sugar 1kg</t>
  </si>
  <si>
    <t>ORD0011</t>
  </si>
  <si>
    <t>CUST053</t>
  </si>
  <si>
    <t>Gayatri Chandran</t>
  </si>
  <si>
    <t>Delhi</t>
  </si>
  <si>
    <t>ORD0012</t>
  </si>
  <si>
    <t>CUST018</t>
  </si>
  <si>
    <t>Rajesh Balakrishnan</t>
  </si>
  <si>
    <t>Nagercoil</t>
  </si>
  <si>
    <t>Almonds 250g</t>
  </si>
  <si>
    <t>ORD0013</t>
  </si>
  <si>
    <t>Whole Wheat Atta 10kg</t>
  </si>
  <si>
    <t>ORD0014</t>
  </si>
  <si>
    <t>CUST068</t>
  </si>
  <si>
    <t>Vanitha Iyer</t>
  </si>
  <si>
    <t>Vellore</t>
  </si>
  <si>
    <t>Electronics</t>
  </si>
  <si>
    <t>Webcam</t>
  </si>
  <si>
    <t>ORD0015</t>
  </si>
  <si>
    <t>CUST038</t>
  </si>
  <si>
    <t>Rohini Prabhu</t>
  </si>
  <si>
    <t>Wooden Blocks</t>
  </si>
  <si>
    <t>ORD0016</t>
  </si>
  <si>
    <t>Shampoo 400ml</t>
  </si>
  <si>
    <t>ORD0017</t>
  </si>
  <si>
    <t>CUST024</t>
  </si>
  <si>
    <t>Ashwini Venkatesh</t>
  </si>
  <si>
    <t>Baby Walker</t>
  </si>
  <si>
    <t>ORD0018</t>
  </si>
  <si>
    <t>CUST007</t>
  </si>
  <si>
    <t>Vijay Gopal</t>
  </si>
  <si>
    <t>Dindigul</t>
  </si>
  <si>
    <t>Wallet</t>
  </si>
  <si>
    <t>ORD0019</t>
  </si>
  <si>
    <t>CUST084</t>
  </si>
  <si>
    <t>Pooja Velayutham</t>
  </si>
  <si>
    <t>Skipping Rope</t>
  </si>
  <si>
    <t>ORD0020</t>
  </si>
  <si>
    <t>CUST040</t>
  </si>
  <si>
    <t>Rajesh Pandian</t>
  </si>
  <si>
    <t>Madurai</t>
  </si>
  <si>
    <t>Resistance Bands Set</t>
  </si>
  <si>
    <t>ORD0021</t>
  </si>
  <si>
    <t>CUST045</t>
  </si>
  <si>
    <t>Harish Thangavel</t>
  </si>
  <si>
    <t>Tablet</t>
  </si>
  <si>
    <t>ORD0022</t>
  </si>
  <si>
    <t>CUST037</t>
  </si>
  <si>
    <t>Manoj Chandran</t>
  </si>
  <si>
    <t>Smartphone</t>
  </si>
  <si>
    <t>ORD0023</t>
  </si>
  <si>
    <t>Home &amp; Kitchen</t>
  </si>
  <si>
    <t>Non-Stick Pan</t>
  </si>
  <si>
    <t>ORD0024</t>
  </si>
  <si>
    <t>Moisturizer 50g</t>
  </si>
  <si>
    <t>ORD0025</t>
  </si>
  <si>
    <t>CUST092</t>
  </si>
  <si>
    <t>Sridhar Narayanan</t>
  </si>
  <si>
    <t>Salem</t>
  </si>
  <si>
    <t>ORD0026</t>
  </si>
  <si>
    <t>CUST064</t>
  </si>
  <si>
    <t>Gopal Palanisamy</t>
  </si>
  <si>
    <t>Thanjavur</t>
  </si>
  <si>
    <t>Play-Doh Set</t>
  </si>
  <si>
    <t>ORD0027</t>
  </si>
  <si>
    <t>CUST010</t>
  </si>
  <si>
    <t>Quamar Velayutham</t>
  </si>
  <si>
    <t>Sports T-Shirt</t>
  </si>
  <si>
    <t>Credit Card</t>
  </si>
  <si>
    <t>ORD0028</t>
  </si>
  <si>
    <t>CUST076</t>
  </si>
  <si>
    <t>Selvam Chinnaswamy</t>
  </si>
  <si>
    <t>Coimbatore</t>
  </si>
  <si>
    <t>ORD0029</t>
  </si>
  <si>
    <t>Books &amp; Stationery</t>
  </si>
  <si>
    <t>Business Analytics</t>
  </si>
  <si>
    <t>ORD0030</t>
  </si>
  <si>
    <t>CUST008</t>
  </si>
  <si>
    <t>Sridhar Venkatesh</t>
  </si>
  <si>
    <t>Pune</t>
  </si>
  <si>
    <t>Maharashtra</t>
  </si>
  <si>
    <t>ORD0031</t>
  </si>
  <si>
    <t>CUST020</t>
  </si>
  <si>
    <t>Indira Raj</t>
  </si>
  <si>
    <t>Kumbakonam</t>
  </si>
  <si>
    <t>ORD0032</t>
  </si>
  <si>
    <t>CUST047</t>
  </si>
  <si>
    <t>Ponmani Raj</t>
  </si>
  <si>
    <t>USB Hub</t>
  </si>
  <si>
    <t>ORD0033</t>
  </si>
  <si>
    <t>CUST087</t>
  </si>
  <si>
    <t>Pooja Perumal</t>
  </si>
  <si>
    <t>Lipstick</t>
  </si>
  <si>
    <t>ORD0034</t>
  </si>
  <si>
    <t>CUST057</t>
  </si>
  <si>
    <t>Vimal Sharma</t>
  </si>
  <si>
    <t>Cuddalore</t>
  </si>
  <si>
    <t>Toor Dal 1kg</t>
  </si>
  <si>
    <t>ORD0035</t>
  </si>
  <si>
    <t>CUST011</t>
  </si>
  <si>
    <t>Yogesh Krishnan</t>
  </si>
  <si>
    <t>Kochi</t>
  </si>
  <si>
    <t>Kerala</t>
  </si>
  <si>
    <t>Mixer Grinder</t>
  </si>
  <si>
    <t>ORD0036</t>
  </si>
  <si>
    <t>CUST030</t>
  </si>
  <si>
    <t>Kalpana Velayutham</t>
  </si>
  <si>
    <t>Highlighters Set</t>
  </si>
  <si>
    <t>ORD0037</t>
  </si>
  <si>
    <t>CUST067</t>
  </si>
  <si>
    <t>Usha Srinivasan</t>
  </si>
  <si>
    <t>ORD0038</t>
  </si>
  <si>
    <t>CUST036</t>
  </si>
  <si>
    <t>Kavitha Nair</t>
  </si>
  <si>
    <t>Air Fryer</t>
  </si>
  <si>
    <t>ORD0039</t>
  </si>
  <si>
    <t>CUST082</t>
  </si>
  <si>
    <t>Ajay Venkatesh</t>
  </si>
  <si>
    <t>ORD0040</t>
  </si>
  <si>
    <t>Polo T-Shirt</t>
  </si>
  <si>
    <t>ORD0041</t>
  </si>
  <si>
    <t>CUST078</t>
  </si>
  <si>
    <t>Shanthi Venkatesh</t>
  </si>
  <si>
    <t>ORD0042</t>
  </si>
  <si>
    <t>CUST074</t>
  </si>
  <si>
    <t>Bharathi Raj</t>
  </si>
  <si>
    <t>ORD0043</t>
  </si>
  <si>
    <t>Yoga Mat 6mm</t>
  </si>
  <si>
    <t>ORD0044</t>
  </si>
  <si>
    <t>CUST081</t>
  </si>
  <si>
    <t>Anita Iyer</t>
  </si>
  <si>
    <t>ORD0045</t>
  </si>
  <si>
    <t>CUST003</t>
  </si>
  <si>
    <t>Muthukumar Mani</t>
  </si>
  <si>
    <t>Jigsaw Puzzle 500pcs</t>
  </si>
  <si>
    <t>ORD0046</t>
  </si>
  <si>
    <t>CUST062</t>
  </si>
  <si>
    <t>Vinoth Gopal</t>
  </si>
  <si>
    <t>ORD0047</t>
  </si>
  <si>
    <t>ORD0048</t>
  </si>
  <si>
    <t>ORD0049</t>
  </si>
  <si>
    <t>CUST098</t>
  </si>
  <si>
    <t>Remote Control Car</t>
  </si>
  <si>
    <t>ORD0050</t>
  </si>
  <si>
    <t>CUST006</t>
  </si>
  <si>
    <t>Rajesh Murugesan</t>
  </si>
  <si>
    <t>ORD0051</t>
  </si>
  <si>
    <t>Knife Set</t>
  </si>
  <si>
    <t>ORD0052</t>
  </si>
  <si>
    <t>CUST094</t>
  </si>
  <si>
    <t>Ashok Perumal</t>
  </si>
  <si>
    <t>Leadership Mindset</t>
  </si>
  <si>
    <t>ORD0053</t>
  </si>
  <si>
    <t>CUST041</t>
  </si>
  <si>
    <t>Mohan Annamalai</t>
  </si>
  <si>
    <t>Tiruppur</t>
  </si>
  <si>
    <t>Steel Water Bottle</t>
  </si>
  <si>
    <t>ORD0054</t>
  </si>
  <si>
    <t>ORD0055</t>
  </si>
  <si>
    <t>CUST017</t>
  </si>
  <si>
    <t>Harish Balakrishnan</t>
  </si>
  <si>
    <t>Denim Jeans</t>
  </si>
  <si>
    <t>ORD0056</t>
  </si>
  <si>
    <t>CUST088</t>
  </si>
  <si>
    <t>Gopal Ramasamy</t>
  </si>
  <si>
    <t>ORD0057</t>
  </si>
  <si>
    <t>CUST028</t>
  </si>
  <si>
    <t>Vanitha Krishnan</t>
  </si>
  <si>
    <t>ORD0058</t>
  </si>
  <si>
    <t>CUST031</t>
  </si>
  <si>
    <t>Girija Iyer</t>
  </si>
  <si>
    <t>ORD0059</t>
  </si>
  <si>
    <t>CUST083</t>
  </si>
  <si>
    <t>Kumar Duraisamy</t>
  </si>
  <si>
    <t>Face Serum</t>
  </si>
  <si>
    <t>ORD0060</t>
  </si>
  <si>
    <t>CUST034</t>
  </si>
  <si>
    <t>Aarav Krishnan</t>
  </si>
  <si>
    <t>Mumbai</t>
  </si>
  <si>
    <t>Leggings</t>
  </si>
  <si>
    <t>ORD0061</t>
  </si>
  <si>
    <t>A4 Notebooks Pack5</t>
  </si>
  <si>
    <t>ORD0062</t>
  </si>
  <si>
    <t>CUST077</t>
  </si>
  <si>
    <t>Ramesh Venkatesh</t>
  </si>
  <si>
    <t>Chennai</t>
  </si>
  <si>
    <t>Water Purifier RO</t>
  </si>
  <si>
    <t>ORD0063</t>
  </si>
  <si>
    <t>CUST048</t>
  </si>
  <si>
    <t>Elavarasi Karuppasamy</t>
  </si>
  <si>
    <t>Bangalore</t>
  </si>
  <si>
    <t>Karnataka</t>
  </si>
  <si>
    <t>ORD0064</t>
  </si>
  <si>
    <t>CUST025</t>
  </si>
  <si>
    <t>Vasanth Sundaram</t>
  </si>
  <si>
    <t>Erode</t>
  </si>
  <si>
    <t>ORD0065</t>
  </si>
  <si>
    <t>CUST013</t>
  </si>
  <si>
    <t>Shalini Ramachandran</t>
  </si>
  <si>
    <t>Casual Dress</t>
  </si>
  <si>
    <t>ORD0066</t>
  </si>
  <si>
    <t>Portable Charger</t>
  </si>
  <si>
    <t>ORD0067</t>
  </si>
  <si>
    <t>ORD0068</t>
  </si>
  <si>
    <t>CUST085</t>
  </si>
  <si>
    <t>Sathish Balakrishnan</t>
  </si>
  <si>
    <t>Sticky Notes 400pcs</t>
  </si>
  <si>
    <t>ORD0069</t>
  </si>
  <si>
    <t>ORD0070</t>
  </si>
  <si>
    <t>ORD0071</t>
  </si>
  <si>
    <t>LEGO Classic Set</t>
  </si>
  <si>
    <t>ORD0072</t>
  </si>
  <si>
    <t>ORD0073</t>
  </si>
  <si>
    <t>ORD0074</t>
  </si>
  <si>
    <t>CUST014</t>
  </si>
  <si>
    <t>Rajesh Velayutham</t>
  </si>
  <si>
    <t>Laptop</t>
  </si>
  <si>
    <t>ORD0075</t>
  </si>
  <si>
    <t>ORD0076</t>
  </si>
  <si>
    <t>CUST073</t>
  </si>
  <si>
    <t>Quamar Ramasamy</t>
  </si>
  <si>
    <t>ORD0077</t>
  </si>
  <si>
    <t>CUST005</t>
  </si>
  <si>
    <t>Krishnan Duraisamy</t>
  </si>
  <si>
    <t>Karur</t>
  </si>
  <si>
    <t>Sunscreen SPF50</t>
  </si>
  <si>
    <t>ORD0078</t>
  </si>
  <si>
    <t>CUST090</t>
  </si>
  <si>
    <t>Ramesh Sharma</t>
  </si>
  <si>
    <t>ORD0079</t>
  </si>
  <si>
    <t>ORD0080</t>
  </si>
  <si>
    <t>Body Lotion 400ml</t>
  </si>
  <si>
    <t>ORD0081</t>
  </si>
  <si>
    <t>Pressure Cooker 5L</t>
  </si>
  <si>
    <t>ORD0082</t>
  </si>
  <si>
    <t>CUST099</t>
  </si>
  <si>
    <t>Tamil Mani</t>
  </si>
  <si>
    <t>ORD0083</t>
  </si>
  <si>
    <t>ORD0084</t>
  </si>
  <si>
    <t>CUST060</t>
  </si>
  <si>
    <t>Balaji Natarajan</t>
  </si>
  <si>
    <t>ORD0085</t>
  </si>
  <si>
    <t>ORD0086</t>
  </si>
  <si>
    <t>CUST096</t>
  </si>
  <si>
    <t>Suresh Murugan</t>
  </si>
  <si>
    <t>Smart TV</t>
  </si>
  <si>
    <t>ORD0087</t>
  </si>
  <si>
    <t>Hair Oil 200ml</t>
  </si>
  <si>
    <t>ORD0088</t>
  </si>
  <si>
    <t>ORD0089</t>
  </si>
  <si>
    <t>CUST079</t>
  </si>
  <si>
    <t>Kumar Murugan</t>
  </si>
  <si>
    <t>Badminton Racket</t>
  </si>
  <si>
    <t>ORD0090</t>
  </si>
  <si>
    <t>ORD0091</t>
  </si>
  <si>
    <t>CUST075</t>
  </si>
  <si>
    <t>Vasanth Velayutham</t>
  </si>
  <si>
    <t>ORD0092</t>
  </si>
  <si>
    <t>ORD0093</t>
  </si>
  <si>
    <t>Scientific Calculator</t>
  </si>
  <si>
    <t>ORD0094</t>
  </si>
  <si>
    <t>ORD0095</t>
  </si>
  <si>
    <t>Induction Cooktop</t>
  </si>
  <si>
    <t>ORD0096</t>
  </si>
  <si>
    <t>ORD0097</t>
  </si>
  <si>
    <t>CUST063</t>
  </si>
  <si>
    <t>Indira Pandian</t>
  </si>
  <si>
    <t>Data Science Handbook</t>
  </si>
  <si>
    <t>ORD0098</t>
  </si>
  <si>
    <t>Cricket Bat Kashmir Willow</t>
  </si>
  <si>
    <t>ORD0099</t>
  </si>
  <si>
    <t>ORD0100</t>
  </si>
  <si>
    <t>ORD0101</t>
  </si>
  <si>
    <t>CUST056</t>
  </si>
  <si>
    <t>Ashok Chinnaswamy</t>
  </si>
  <si>
    <t>ORD0102</t>
  </si>
  <si>
    <t>ORD0103</t>
  </si>
  <si>
    <t>ORD0104</t>
  </si>
  <si>
    <t>ORD0105</t>
  </si>
  <si>
    <t>ORD0106</t>
  </si>
  <si>
    <t>Football Size5</t>
  </si>
  <si>
    <t>ORD0107</t>
  </si>
  <si>
    <t>ORD0108</t>
  </si>
  <si>
    <t>ORD0109</t>
  </si>
  <si>
    <t>Smart Watch</t>
  </si>
  <si>
    <t>ORD0110</t>
  </si>
  <si>
    <t>ORD0111</t>
  </si>
  <si>
    <t>ORD0112</t>
  </si>
  <si>
    <t>CUST066</t>
  </si>
  <si>
    <t>Ranjith Gopal</t>
  </si>
  <si>
    <t>ORD0113</t>
  </si>
  <si>
    <t>ORD0114</t>
  </si>
  <si>
    <t>Chopping Board</t>
  </si>
  <si>
    <t>ORD0115</t>
  </si>
  <si>
    <t>ORD0116</t>
  </si>
  <si>
    <t>ORD0117</t>
  </si>
  <si>
    <t>ORD0118</t>
  </si>
  <si>
    <t>ORD0119</t>
  </si>
  <si>
    <t>CUST055</t>
  </si>
  <si>
    <t>Aruna Iyer</t>
  </si>
  <si>
    <t>ORD0120</t>
  </si>
  <si>
    <t>CUST019</t>
  </si>
  <si>
    <t>Jayashree Mani</t>
  </si>
  <si>
    <t>ORD0121</t>
  </si>
  <si>
    <t>Barbie Doll</t>
  </si>
  <si>
    <t>ORD0122</t>
  </si>
  <si>
    <t>ORD0123</t>
  </si>
  <si>
    <t>CUST058</t>
  </si>
  <si>
    <t>ORD0124</t>
  </si>
  <si>
    <t>ORD0125</t>
  </si>
  <si>
    <t>ORD0126</t>
  </si>
  <si>
    <t>CUST059</t>
  </si>
  <si>
    <t>Sridhar Balakrishnan</t>
  </si>
  <si>
    <t>ORD0127</t>
  </si>
  <si>
    <t>ORD0128</t>
  </si>
  <si>
    <t>CUST004</t>
  </si>
  <si>
    <t>Rubesh Prabhu</t>
  </si>
  <si>
    <t>Foundation</t>
  </si>
  <si>
    <t>ORD0129</t>
  </si>
  <si>
    <t>CUST022</t>
  </si>
  <si>
    <t>Senthil Balakrishnan</t>
  </si>
  <si>
    <t>ORD0130</t>
  </si>
  <si>
    <t>CUST035</t>
  </si>
  <si>
    <t>Kalpana Chandran</t>
  </si>
  <si>
    <t>ORD0131</t>
  </si>
  <si>
    <t>CUST029</t>
  </si>
  <si>
    <t>Prasad Venkatesh</t>
  </si>
  <si>
    <t>ORD0132</t>
  </si>
  <si>
    <t>CUST072</t>
  </si>
  <si>
    <t>Nisha Kumar</t>
  </si>
  <si>
    <t>ORD0133</t>
  </si>
  <si>
    <t>ORD0134</t>
  </si>
  <si>
    <t>ORD0135</t>
  </si>
  <si>
    <t>ORD0136</t>
  </si>
  <si>
    <t>Dinner Set 24pcs</t>
  </si>
  <si>
    <t>ORD0137</t>
  </si>
  <si>
    <t>ORD0138</t>
  </si>
  <si>
    <t>ORD0139</t>
  </si>
  <si>
    <t>Honey 500g</t>
  </si>
  <si>
    <t>ORD0140</t>
  </si>
  <si>
    <t>Basmati Rice 5kg</t>
  </si>
  <si>
    <t>ORD0141</t>
  </si>
  <si>
    <t>ORD0142</t>
  </si>
  <si>
    <t>ORD0143</t>
  </si>
  <si>
    <t>ORD0144</t>
  </si>
  <si>
    <t>ORD0145</t>
  </si>
  <si>
    <t>CUST012</t>
  </si>
  <si>
    <t>ORD0146</t>
  </si>
  <si>
    <t>ORD0147</t>
  </si>
  <si>
    <t>Board Game Monopoly</t>
  </si>
  <si>
    <t>ORD0148</t>
  </si>
  <si>
    <t>ORD0149</t>
  </si>
  <si>
    <t>ORD0150</t>
  </si>
  <si>
    <t>ORD0151</t>
  </si>
  <si>
    <t>ORD0152</t>
  </si>
  <si>
    <t>ORD0153</t>
  </si>
  <si>
    <t>Formal Trousers</t>
  </si>
  <si>
    <t>ORD0154</t>
  </si>
  <si>
    <t>Biscuits Pack</t>
  </si>
  <si>
    <t>ORD0155</t>
  </si>
  <si>
    <t>Winter Jacket</t>
  </si>
  <si>
    <t>ORD0156</t>
  </si>
  <si>
    <t>CUST027</t>
  </si>
  <si>
    <t>Harish Ganesan</t>
  </si>
  <si>
    <t>ORD0157</t>
  </si>
  <si>
    <t>ORD0158</t>
  </si>
  <si>
    <t>CUST071</t>
  </si>
  <si>
    <t>Revathi Kumar</t>
  </si>
  <si>
    <t>Soft Toy Bear</t>
  </si>
  <si>
    <t>ORD0159</t>
  </si>
  <si>
    <t>ORD0160</t>
  </si>
  <si>
    <t>Python Programming</t>
  </si>
  <si>
    <t>ORD0161</t>
  </si>
  <si>
    <t>CUST100</t>
  </si>
  <si>
    <t>Tamil Selvam</t>
  </si>
  <si>
    <t>ORD0162</t>
  </si>
  <si>
    <t>ORD0163</t>
  </si>
  <si>
    <t>ORD0164</t>
  </si>
  <si>
    <t>ORD0165</t>
  </si>
  <si>
    <t>ORD0166</t>
  </si>
  <si>
    <t>ORD0167</t>
  </si>
  <si>
    <t>ORD0168</t>
  </si>
  <si>
    <t>Gel Pens Pack10</t>
  </si>
  <si>
    <t>ORD0169</t>
  </si>
  <si>
    <t>CUST069</t>
  </si>
  <si>
    <t>Divya Annamalai</t>
  </si>
  <si>
    <t>ORD0170</t>
  </si>
  <si>
    <t>ORD0171</t>
  </si>
  <si>
    <t>SQL Mastery</t>
  </si>
  <si>
    <t>ORD0172</t>
  </si>
  <si>
    <t>CUST015</t>
  </si>
  <si>
    <t>Muthukumar Iyer</t>
  </si>
  <si>
    <t>Instant Coffee 100g</t>
  </si>
  <si>
    <t>ORD0173</t>
  </si>
  <si>
    <t>ORD0174</t>
  </si>
  <si>
    <t>ORD0175</t>
  </si>
  <si>
    <t>ORD0176</t>
  </si>
  <si>
    <t>CUST026</t>
  </si>
  <si>
    <t>Rohini Ganesan</t>
  </si>
  <si>
    <t>ORD0177</t>
  </si>
  <si>
    <t>ORD0178</t>
  </si>
  <si>
    <t>ORD0179</t>
  </si>
  <si>
    <t>ORD0180</t>
  </si>
  <si>
    <t>ORD0181</t>
  </si>
  <si>
    <t>ORD0182</t>
  </si>
  <si>
    <t>ORD0183</t>
  </si>
  <si>
    <t>ORD0184</t>
  </si>
  <si>
    <t>Ethnic Saree</t>
  </si>
  <si>
    <t>ORD0185</t>
  </si>
  <si>
    <t>Wireless Headphones</t>
  </si>
  <si>
    <t>ORD0186</t>
  </si>
  <si>
    <t>ORD0187</t>
  </si>
  <si>
    <t>Face Wash 100ml</t>
  </si>
  <si>
    <t>ORD0188</t>
  </si>
  <si>
    <t>ORD0189</t>
  </si>
  <si>
    <t>ORD0190</t>
  </si>
  <si>
    <t>ORD0191</t>
  </si>
  <si>
    <t>ORD0192</t>
  </si>
  <si>
    <t>ORD0193</t>
  </si>
  <si>
    <t>ORD0194</t>
  </si>
  <si>
    <t>ORD0195</t>
  </si>
  <si>
    <t>ORD0196</t>
  </si>
  <si>
    <t>ORD0197</t>
  </si>
  <si>
    <t>ORD0198</t>
  </si>
  <si>
    <t>ORD0199</t>
  </si>
  <si>
    <t>Bluetooth Speaker</t>
  </si>
  <si>
    <t>ORD0200</t>
  </si>
  <si>
    <t>ORD0201</t>
  </si>
  <si>
    <t>ORD0202</t>
  </si>
  <si>
    <t>ORD0203</t>
  </si>
  <si>
    <t>ORD0204</t>
  </si>
  <si>
    <t>ORD0205</t>
  </si>
  <si>
    <t>CUST023</t>
  </si>
  <si>
    <t>Kalpana Mani</t>
  </si>
  <si>
    <t>ORD0206</t>
  </si>
  <si>
    <t>ORD0207</t>
  </si>
  <si>
    <t>ORD0208</t>
  </si>
  <si>
    <t>ORD0209</t>
  </si>
  <si>
    <t>CUST070</t>
  </si>
  <si>
    <t>Harish Selvam</t>
  </si>
  <si>
    <t>ORD0210</t>
  </si>
  <si>
    <t>ORD0211</t>
  </si>
  <si>
    <t>ORD0212</t>
  </si>
  <si>
    <t>ORD0213</t>
  </si>
  <si>
    <t>ORD0214</t>
  </si>
  <si>
    <t>ORD0215</t>
  </si>
  <si>
    <t>ORD0216</t>
  </si>
  <si>
    <t>ORD0217</t>
  </si>
  <si>
    <t>CUST042</t>
  </si>
  <si>
    <t>Deepa Narayanan</t>
  </si>
  <si>
    <t>ORD0218</t>
  </si>
  <si>
    <t>ORD0219</t>
  </si>
  <si>
    <t>ORD0220</t>
  </si>
  <si>
    <t>ORD0221</t>
  </si>
  <si>
    <t>CUST046</t>
  </si>
  <si>
    <t>Shanthi Sundaram</t>
  </si>
  <si>
    <t>ORD0222</t>
  </si>
  <si>
    <t>ORD0223</t>
  </si>
  <si>
    <t>ORD0224</t>
  </si>
  <si>
    <t>ORD0225</t>
  </si>
  <si>
    <t>ORD0226</t>
  </si>
  <si>
    <t>ORD0227</t>
  </si>
  <si>
    <t>ORD0228</t>
  </si>
  <si>
    <t>ORD0229</t>
  </si>
  <si>
    <t>ORD0230</t>
  </si>
  <si>
    <t>ORD0231</t>
  </si>
  <si>
    <t>ORD0232</t>
  </si>
  <si>
    <t>CUST061</t>
  </si>
  <si>
    <t>Gopal Devi</t>
  </si>
  <si>
    <t>ORD0233</t>
  </si>
  <si>
    <t>ORD0234</t>
  </si>
  <si>
    <t>ORD0235</t>
  </si>
  <si>
    <t>CUST001</t>
  </si>
  <si>
    <t>Saranya Selvam</t>
  </si>
  <si>
    <t>ORD0236</t>
  </si>
  <si>
    <t>ORD0237</t>
  </si>
  <si>
    <t>CUST039</t>
  </si>
  <si>
    <t>Sivakami Perumal</t>
  </si>
  <si>
    <t>ORD0238</t>
  </si>
  <si>
    <t>ORD0239</t>
  </si>
  <si>
    <t>ORD0240</t>
  </si>
  <si>
    <t>ORD0241</t>
  </si>
  <si>
    <t>ORD0242</t>
  </si>
  <si>
    <t>ORD0243</t>
  </si>
  <si>
    <t>ORD0244</t>
  </si>
  <si>
    <t>ORD0245</t>
  </si>
  <si>
    <t>ORD0246</t>
  </si>
  <si>
    <t>ORD0247</t>
  </si>
  <si>
    <t>CUST044</t>
  </si>
  <si>
    <t>Arjun Duraisamy</t>
  </si>
  <si>
    <t>ORD0248</t>
  </si>
  <si>
    <t>ORD0249</t>
  </si>
  <si>
    <t>ORD0250</t>
  </si>
  <si>
    <t>ORD0251</t>
  </si>
  <si>
    <t>CUST093</t>
  </si>
  <si>
    <t>Jayashree Narayanan</t>
  </si>
  <si>
    <t>ORD0252</t>
  </si>
  <si>
    <t>ORD0253</t>
  </si>
  <si>
    <t>ORD0254</t>
  </si>
  <si>
    <t>ORD0255</t>
  </si>
  <si>
    <t>ORD0256</t>
  </si>
  <si>
    <t>ORD0257</t>
  </si>
  <si>
    <t>ORD0258</t>
  </si>
  <si>
    <t>CUST086</t>
  </si>
  <si>
    <t>Akash Rajan</t>
  </si>
  <si>
    <t>ORD0259</t>
  </si>
  <si>
    <t>ORD0260</t>
  </si>
  <si>
    <t>ORD0261</t>
  </si>
  <si>
    <t>ORD0262</t>
  </si>
  <si>
    <t>CUST002</t>
  </si>
  <si>
    <t>Tamilarasi Annamalai</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</si>
  <si>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</si>
  <si>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</si>
  <si>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</si>
  <si>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</si>
  <si>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</si>
  <si>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</si>
  <si>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</si>
  <si>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</si>
  <si>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</si>
  <si>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</si>
  <si>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</si>
  <si>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</si>
  <si>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</si>
  <si>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</si>
  <si>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</si>
  <si>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</si>
  <si>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</si>
  <si>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</si>
  <si>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</si>
  <si>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</si>
  <si>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</si>
  <si>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</si>
  <si>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</si>
  <si>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</si>
  <si>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</si>
  <si>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</si>
  <si>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</si>
  <si>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CUST050</t>
  </si>
  <si>
    <t>Kavitha Devi</t>
  </si>
  <si>
    <t>ORD0290</t>
  </si>
  <si>
    <t>ORD0291</t>
  </si>
  <si>
    <t>ORD0292</t>
  </si>
  <si>
    <t>CUST021</t>
  </si>
  <si>
    <t>Karthik Sharma</t>
  </si>
  <si>
    <t>ORD0293</t>
  </si>
  <si>
    <t>ORD0294</t>
  </si>
  <si>
    <t>ORD0295</t>
  </si>
  <si>
    <t>ORD0296</t>
  </si>
  <si>
    <t>ORD0297</t>
  </si>
  <si>
    <t>ORD0298</t>
  </si>
  <si>
    <t>ORD0299</t>
  </si>
  <si>
    <t>ORD0300</t>
  </si>
  <si>
    <t>ORD0301</t>
  </si>
  <si>
    <t>ORD0302</t>
  </si>
  <si>
    <t>ORD0303</t>
  </si>
  <si>
    <t>ORD0304</t>
  </si>
  <si>
    <t>ORD0305</t>
  </si>
  <si>
    <t>ORD0306</t>
  </si>
  <si>
    <t>ORD0307</t>
  </si>
  <si>
    <t>Men's Formal Shirt</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</si>
  <si>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</si>
  <si>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</si>
  <si>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</si>
  <si>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</si>
  <si>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</si>
  <si>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</si>
  <si>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</si>
  <si>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</si>
  <si>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</si>
  <si>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</si>
  <si>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</si>
  <si>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</si>
  <si>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</si>
  <si>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</si>
  <si>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</si>
  <si>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</si>
  <si>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</si>
  <si>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</si>
  <si>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</si>
  <si>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</si>
  <si>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</si>
  <si>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</si>
  <si>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</si>
  <si>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</si>
  <si>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</si>
  <si>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</si>
  <si>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</si>
  <si>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</si>
  <si>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</si>
  <si>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</si>
  <si>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</si>
  <si>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</si>
  <si>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</si>
  <si>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</si>
  <si>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</si>
  <si>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</si>
  <si>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</si>
  <si>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</si>
  <si>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</si>
  <si>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</si>
  <si>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</si>
  <si>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</si>
  <si>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</si>
  <si>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</si>
  <si>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</si>
  <si>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</si>
  <si>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</si>
  <si>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</si>
  <si>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CUST043</t>
  </si>
  <si>
    <t>Nithya Prabhu</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</si>
  <si>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</si>
  <si>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</si>
  <si>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</si>
  <si>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</si>
  <si>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</si>
  <si>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</si>
  <si>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</si>
  <si>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</si>
  <si>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</si>
  <si>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</si>
  <si>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</si>
  <si>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</si>
  <si>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</si>
  <si>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</si>
  <si>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</si>
  <si>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</si>
  <si>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</si>
  <si>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</si>
  <si>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</si>
  <si>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</si>
  <si>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</si>
  <si>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</si>
  <si>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</si>
  <si>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</si>
  <si>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</si>
  <si>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CUST080</t>
  </si>
  <si>
    <t>Vasanth Pillai</t>
  </si>
  <si>
    <t>ORD0381</t>
  </si>
  <si>
    <t>ORD0382</t>
  </si>
  <si>
    <t>ORD0383</t>
  </si>
  <si>
    <t>ORD0384</t>
  </si>
  <si>
    <t>ORD0385</t>
  </si>
  <si>
    <t>ORD0386</t>
  </si>
  <si>
    <t>CUST091</t>
  </si>
  <si>
    <t>Kavitha Rajan</t>
  </si>
  <si>
    <t>ORD0387</t>
  </si>
  <si>
    <t>ORD0388</t>
  </si>
  <si>
    <t>ORD0389</t>
  </si>
  <si>
    <t>ORD0390</t>
  </si>
  <si>
    <t>ORD0391</t>
  </si>
  <si>
    <t>ORD0392</t>
  </si>
  <si>
    <t>ORD0393</t>
  </si>
  <si>
    <t>ORD0394</t>
  </si>
  <si>
    <t>ORD0395</t>
  </si>
  <si>
    <t>ORD0396</t>
  </si>
  <si>
    <t>ORD0397</t>
  </si>
  <si>
    <t>ORD0398</t>
  </si>
  <si>
    <t>ORD0399</t>
  </si>
  <si>
    <t>ORD0400</t>
  </si>
  <si>
    <t>CUST016</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</si>
  <si>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</si>
  <si>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</si>
  <si>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</si>
  <si>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</si>
  <si>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</si>
  <si>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</si>
  <si>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</si>
  <si>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</si>
  <si>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</si>
  <si>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</si>
  <si>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</si>
  <si>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</si>
  <si>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</si>
  <si>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</si>
  <si>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</si>
  <si>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</si>
  <si>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</si>
  <si>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</si>
  <si>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</si>
  <si>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</si>
  <si>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</si>
  <si>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</si>
  <si>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</si>
  <si>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</si>
  <si>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</si>
  <si>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</si>
  <si>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</si>
  <si>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</si>
  <si>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</si>
  <si>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</si>
  <si>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</si>
  <si>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</si>
  <si>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</si>
  <si>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</si>
  <si>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</si>
  <si>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</si>
  <si>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</si>
  <si>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</si>
  <si>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</si>
  <si>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</si>
  <si>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</si>
  <si>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</si>
  <si>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</si>
  <si>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</si>
  <si>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</si>
  <si>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</si>
  <si>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</si>
  <si>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</si>
  <si>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</si>
  <si>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</si>
  <si>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</si>
  <si>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</si>
  <si>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</si>
  <si>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</si>
  <si>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</si>
  <si>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</si>
  <si>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</si>
  <si>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</si>
  <si>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</si>
  <si>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</si>
  <si>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</si>
  <si>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</si>
  <si>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</si>
  <si>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</si>
  <si>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</si>
  <si>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</si>
  <si>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</si>
  <si>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</si>
  <si>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</si>
  <si>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</si>
  <si>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</si>
  <si>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</si>
  <si>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</si>
  <si>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</si>
  <si>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</si>
  <si>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</si>
  <si>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</si>
  <si>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</si>
  <si>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</si>
  <si>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</si>
  <si>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</si>
  <si>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</si>
  <si>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</si>
  <si>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</si>
  <si>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</si>
  <si>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</si>
  <si>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</si>
  <si>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</si>
  <si>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</si>
  <si>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</si>
  <si>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</si>
  <si>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</si>
  <si>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</si>
  <si>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</si>
  <si>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</si>
  <si>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</si>
  <si>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</si>
  <si>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</si>
  <si>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</si>
  <si>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</si>
  <si>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Age</t>
  </si>
  <si>
    <t>Gender</t>
  </si>
  <si>
    <t>Email</t>
  </si>
  <si>
    <t>Phone</t>
  </si>
  <si>
    <t>Signup_Date</t>
  </si>
  <si>
    <t>Membership_Type</t>
  </si>
  <si>
    <t>Total_Orders</t>
  </si>
  <si>
    <t>Total_Spent</t>
  </si>
  <si>
    <t>Female</t>
  </si>
  <si>
    <t>saranya89@gmail.com</t>
  </si>
  <si>
    <t>9816021276</t>
  </si>
  <si>
    <t>Bronze</t>
  </si>
  <si>
    <t>Male</t>
  </si>
  <si>
    <t>tamilarasi32@gmail.com</t>
  </si>
  <si>
    <t>9844599878</t>
  </si>
  <si>
    <t>Silver</t>
  </si>
  <si>
    <t>muthukumar99@gmail.com</t>
  </si>
  <si>
    <t>9847328948</t>
  </si>
  <si>
    <t>Platinum</t>
  </si>
  <si>
    <t>rubesh33@gmail.com</t>
  </si>
  <si>
    <t>9561250709</t>
  </si>
  <si>
    <t>krishnan53@gmail.com</t>
  </si>
  <si>
    <t>9398853830</t>
  </si>
  <si>
    <t>rajesh84@gmail.com</t>
  </si>
  <si>
    <t>9149270965</t>
  </si>
  <si>
    <t>Gold</t>
  </si>
  <si>
    <t>vijay44@gmail.com</t>
  </si>
  <si>
    <t>9447681279</t>
  </si>
  <si>
    <t>sridhar88@gmail.com</t>
  </si>
  <si>
    <t>9721765763</t>
  </si>
  <si>
    <t>anjali44@gmail.com</t>
  </si>
  <si>
    <t>9896207903</t>
  </si>
  <si>
    <t>quamar61@gmail.com</t>
  </si>
  <si>
    <t>9499907187</t>
  </si>
  <si>
    <t>yogesh77@gmail.com</t>
  </si>
  <si>
    <t>9184191052</t>
  </si>
  <si>
    <t>jayashree49@gmail.com</t>
  </si>
  <si>
    <t>9534085831</t>
  </si>
  <si>
    <t>shalini43@gmail.com</t>
  </si>
  <si>
    <t>9886313897</t>
  </si>
  <si>
    <t>rajesh39@gmail.com</t>
  </si>
  <si>
    <t>9610205006</t>
  </si>
  <si>
    <t>muthukumar13@gmail.com</t>
  </si>
  <si>
    <t>9432652443</t>
  </si>
  <si>
    <t>prasad85@gmail.com</t>
  </si>
  <si>
    <t>9856676307</t>
  </si>
  <si>
    <t>harish80@gmail.com</t>
  </si>
  <si>
    <t>9329673881</t>
  </si>
  <si>
    <t>rajesh68@gmail.com</t>
  </si>
  <si>
    <t>9127894993</t>
  </si>
  <si>
    <t>jayashree46@gmail.com</t>
  </si>
  <si>
    <t>9661401163</t>
  </si>
  <si>
    <t>indira26@gmail.com</t>
  </si>
  <si>
    <t>9411618079</t>
  </si>
  <si>
    <t>karthik38@gmail.com</t>
  </si>
  <si>
    <t>9735077503</t>
  </si>
  <si>
    <t>senthil20@gmail.com</t>
  </si>
  <si>
    <t>9573897330</t>
  </si>
  <si>
    <t>kalpana49@gmail.com</t>
  </si>
  <si>
    <t>9917228431</t>
  </si>
  <si>
    <t>ashwini87@gmail.com</t>
  </si>
  <si>
    <t>9240824812</t>
  </si>
  <si>
    <t>vasanth71@gmail.com</t>
  </si>
  <si>
    <t>9887147358</t>
  </si>
  <si>
    <t>rohini99@gmail.com</t>
  </si>
  <si>
    <t>9728339800</t>
  </si>
  <si>
    <t>harish28@gmail.com</t>
  </si>
  <si>
    <t>9542859887</t>
  </si>
  <si>
    <t>vanitha73@gmail.com</t>
  </si>
  <si>
    <t>9456482292</t>
  </si>
  <si>
    <t>prasad67@gmail.com</t>
  </si>
  <si>
    <t>9296874531</t>
  </si>
  <si>
    <t>kalpana33@gmail.com</t>
  </si>
  <si>
    <t>9544615770</t>
  </si>
  <si>
    <t>girija90@gmail.com</t>
  </si>
  <si>
    <t>9962316407</t>
  </si>
  <si>
    <t>indira35@gmail.com</t>
  </si>
  <si>
    <t>9677000150</t>
  </si>
  <si>
    <t>anita84@gmail.com</t>
  </si>
  <si>
    <t>9302360390</t>
  </si>
  <si>
    <t>aarav23@gmail.com</t>
  </si>
  <si>
    <t>9628227957</t>
  </si>
  <si>
    <t>kalpana99@gmail.com</t>
  </si>
  <si>
    <t>9824264973</t>
  </si>
  <si>
    <t>kavitha50@gmail.com</t>
  </si>
  <si>
    <t>9994699783</t>
  </si>
  <si>
    <t>manoj94@gmail.com</t>
  </si>
  <si>
    <t>9202136488</t>
  </si>
  <si>
    <t>rohini83@gmail.com</t>
  </si>
  <si>
    <t>9347045463</t>
  </si>
  <si>
    <t>sivakami81@gmail.com</t>
  </si>
  <si>
    <t>9555440398</t>
  </si>
  <si>
    <t>rajesh22@gmail.com</t>
  </si>
  <si>
    <t>9269278523</t>
  </si>
  <si>
    <t>mohan70@gmail.com</t>
  </si>
  <si>
    <t>9139398866</t>
  </si>
  <si>
    <t>deepa65@gmail.com</t>
  </si>
  <si>
    <t>9856503406</t>
  </si>
  <si>
    <t>nithya86@gmail.com</t>
  </si>
  <si>
    <t>9724960006</t>
  </si>
  <si>
    <t>arjun47@gmail.com</t>
  </si>
  <si>
    <t>9523946769</t>
  </si>
  <si>
    <t>harish83@gmail.com</t>
  </si>
  <si>
    <t>9906088549</t>
  </si>
  <si>
    <t>shanthi53@gmail.com</t>
  </si>
  <si>
    <t>9270032955</t>
  </si>
  <si>
    <t>ponmani54@gmail.com</t>
  </si>
  <si>
    <t>9424997250</t>
  </si>
  <si>
    <t>elavarasi43@gmail.com</t>
  </si>
  <si>
    <t>9379584063</t>
  </si>
  <si>
    <t>oviya82@gmail.com</t>
  </si>
  <si>
    <t>9202486722</t>
  </si>
  <si>
    <t>kavitha49@gmail.com</t>
  </si>
  <si>
    <t>9174121126</t>
  </si>
  <si>
    <t>bhavana39@gmail.com</t>
  </si>
  <si>
    <t>9300421238</t>
  </si>
  <si>
    <t>CUST052</t>
  </si>
  <si>
    <t>Vijay Nair</t>
  </si>
  <si>
    <t>vijay97@gmail.com</t>
  </si>
  <si>
    <t>9103032082</t>
  </si>
  <si>
    <t>gayatri70@gmail.com</t>
  </si>
  <si>
    <t>9799433795</t>
  </si>
  <si>
    <t>tamilarasi99@gmail.com</t>
  </si>
  <si>
    <t>9847975273</t>
  </si>
  <si>
    <t>aruna49@gmail.com</t>
  </si>
  <si>
    <t>9303384539</t>
  </si>
  <si>
    <t>ashok77@gmail.com</t>
  </si>
  <si>
    <t>9964818994</t>
  </si>
  <si>
    <t>vimal74@gmail.com</t>
  </si>
  <si>
    <t>9863013621</t>
  </si>
  <si>
    <t>ashok46@gmail.com</t>
  </si>
  <si>
    <t>9468052086</t>
  </si>
  <si>
    <t>sridhar25@gmail.com</t>
  </si>
  <si>
    <t>9367775934</t>
  </si>
  <si>
    <t>balaji64@gmail.com</t>
  </si>
  <si>
    <t>9282982656</t>
  </si>
  <si>
    <t>gopal82@gmail.com</t>
  </si>
  <si>
    <t>9607927175</t>
  </si>
  <si>
    <t>vinoth34@gmail.com</t>
  </si>
  <si>
    <t>9280810078</t>
  </si>
  <si>
    <t>indira59@gmail.com</t>
  </si>
  <si>
    <t>9280185666</t>
  </si>
  <si>
    <t>gopal21@gmail.com</t>
  </si>
  <si>
    <t>9816495802</t>
  </si>
  <si>
    <t>lavanya22@gmail.com</t>
  </si>
  <si>
    <t>9745388697</t>
  </si>
  <si>
    <t>ranjith51@gmail.com</t>
  </si>
  <si>
    <t>9315062702</t>
  </si>
  <si>
    <t>usha14@gmail.com</t>
  </si>
  <si>
    <t>9896600044</t>
  </si>
  <si>
    <t>vanitha64@gmail.com</t>
  </si>
  <si>
    <t>9901894258</t>
  </si>
  <si>
    <t>divya58@gmail.com</t>
  </si>
  <si>
    <t>9503776406</t>
  </si>
  <si>
    <t>harish12@gmail.com</t>
  </si>
  <si>
    <t>9466252337</t>
  </si>
  <si>
    <t>revathi99@gmail.com</t>
  </si>
  <si>
    <t>9224786608</t>
  </si>
  <si>
    <t>nisha27@gmail.com</t>
  </si>
  <si>
    <t>9498597708</t>
  </si>
  <si>
    <t>quamar10@gmail.com</t>
  </si>
  <si>
    <t>9329882206</t>
  </si>
  <si>
    <t>bharathi17@gmail.com</t>
  </si>
  <si>
    <t>9202878905</t>
  </si>
  <si>
    <t>vasanth73@gmail.com</t>
  </si>
  <si>
    <t>9980586433</t>
  </si>
  <si>
    <t>selvam81@gmail.com</t>
  </si>
  <si>
    <t>9653636382</t>
  </si>
  <si>
    <t>ramesh41@gmail.com</t>
  </si>
  <si>
    <t>9578715676</t>
  </si>
  <si>
    <t>shanthi43@gmail.com</t>
  </si>
  <si>
    <t>9860827386</t>
  </si>
  <si>
    <t>kumar39@gmail.com</t>
  </si>
  <si>
    <t>9165095906</t>
  </si>
  <si>
    <t>vasanth51@gmail.com</t>
  </si>
  <si>
    <t>9663183876</t>
  </si>
  <si>
    <t>anita33@gmail.com</t>
  </si>
  <si>
    <t>9257055130</t>
  </si>
  <si>
    <t>ajay61@gmail.com</t>
  </si>
  <si>
    <t>9793310525</t>
  </si>
  <si>
    <t>kumar28@gmail.com</t>
  </si>
  <si>
    <t>9816623079</t>
  </si>
  <si>
    <t>pooja10@gmail.com</t>
  </si>
  <si>
    <t>9346386555</t>
  </si>
  <si>
    <t>sathish60@gmail.com</t>
  </si>
  <si>
    <t>9381184846</t>
  </si>
  <si>
    <t>akash53@gmail.com</t>
  </si>
  <si>
    <t>9541880983</t>
  </si>
  <si>
    <t>pooja48@gmail.com</t>
  </si>
  <si>
    <t>9210091914</t>
  </si>
  <si>
    <t>gopal91@gmail.com</t>
  </si>
  <si>
    <t>9351455876</t>
  </si>
  <si>
    <t>arjun27@gmail.com</t>
  </si>
  <si>
    <t>9725934186</t>
  </si>
  <si>
    <t>ramesh33@gmail.com</t>
  </si>
  <si>
    <t>9773279904</t>
  </si>
  <si>
    <t>kavitha92@gmail.com</t>
  </si>
  <si>
    <t>9896317030</t>
  </si>
  <si>
    <t>sridhar82@gmail.com</t>
  </si>
  <si>
    <t>9750638920</t>
  </si>
  <si>
    <t>jayashree21@gmail.com</t>
  </si>
  <si>
    <t>9647545053</t>
  </si>
  <si>
    <t>ashok74@gmail.com</t>
  </si>
  <si>
    <t>9606213013</t>
  </si>
  <si>
    <t>vanitha41@gmail.com</t>
  </si>
  <si>
    <t>9686889142</t>
  </si>
  <si>
    <t>suresh13@gmail.com</t>
  </si>
  <si>
    <t>9715379322</t>
  </si>
  <si>
    <t>aarav63@gmail.com</t>
  </si>
  <si>
    <t>9949394427</t>
  </si>
  <si>
    <t>harish75@gmail.com</t>
  </si>
  <si>
    <t>9182013985</t>
  </si>
  <si>
    <t>tamil86@gmail.com</t>
  </si>
  <si>
    <t>9510842904</t>
  </si>
  <si>
    <t>tamil61@gmail.com</t>
  </si>
  <si>
    <t>9706016341</t>
  </si>
  <si>
    <t>Product_ID</t>
  </si>
  <si>
    <t>MRP</t>
  </si>
  <si>
    <t>Cost_Price</t>
  </si>
  <si>
    <t>Profit_Margin_Pct</t>
  </si>
  <si>
    <t>Brand</t>
  </si>
  <si>
    <t>Rating</t>
  </si>
  <si>
    <t>Stock_Available</t>
  </si>
  <si>
    <t>Reorder_Level</t>
  </si>
  <si>
    <t>PROD001</t>
  </si>
  <si>
    <t>Lenovo</t>
  </si>
  <si>
    <t>PROD002</t>
  </si>
  <si>
    <t>Samsung</t>
  </si>
  <si>
    <t>PROD003</t>
  </si>
  <si>
    <t>Apple</t>
  </si>
  <si>
    <t>PROD004</t>
  </si>
  <si>
    <t>Sony</t>
  </si>
  <si>
    <t>PROD005</t>
  </si>
  <si>
    <t>PROD006</t>
  </si>
  <si>
    <t>OnePlus</t>
  </si>
  <si>
    <t>PROD007</t>
  </si>
  <si>
    <t>Boat</t>
  </si>
  <si>
    <t>PROD008</t>
  </si>
  <si>
    <t>PROD009</t>
  </si>
  <si>
    <t>MI</t>
  </si>
  <si>
    <t>PROD010</t>
  </si>
  <si>
    <t>PROD011</t>
  </si>
  <si>
    <t>Van Heusen</t>
  </si>
  <si>
    <t>PROD012</t>
  </si>
  <si>
    <t>PROD013</t>
  </si>
  <si>
    <t>Biba</t>
  </si>
  <si>
    <t>PROD014</t>
  </si>
  <si>
    <t>PROD015</t>
  </si>
  <si>
    <t>PROD016</t>
  </si>
  <si>
    <t>Peter England</t>
  </si>
  <si>
    <t>PROD017</t>
  </si>
  <si>
    <t>PROD018</t>
  </si>
  <si>
    <t>W</t>
  </si>
  <si>
    <t>PROD019</t>
  </si>
  <si>
    <t>PROD020</t>
  </si>
  <si>
    <t>PROD021</t>
  </si>
  <si>
    <t>Dabur</t>
  </si>
  <si>
    <t>PROD022</t>
  </si>
  <si>
    <t>Tata</t>
  </si>
  <si>
    <t>PROD023</t>
  </si>
  <si>
    <t>PROD024</t>
  </si>
  <si>
    <t>Nescafe</t>
  </si>
  <si>
    <t>PROD025</t>
  </si>
  <si>
    <t>Aashirvaad</t>
  </si>
  <si>
    <t>PROD026</t>
  </si>
  <si>
    <t>Saffola</t>
  </si>
  <si>
    <t>PROD027</t>
  </si>
  <si>
    <t>PROD028</t>
  </si>
  <si>
    <t>PROD029</t>
  </si>
  <si>
    <t>PROD030</t>
  </si>
  <si>
    <t>PROD031</t>
  </si>
  <si>
    <t>Pigeon</t>
  </si>
  <si>
    <t>PROD032</t>
  </si>
  <si>
    <t>Borosil</t>
  </si>
  <si>
    <t>PROD033</t>
  </si>
  <si>
    <t>PROD034</t>
  </si>
  <si>
    <t>PROD035</t>
  </si>
  <si>
    <t>Inalsa</t>
  </si>
  <si>
    <t>PROD036</t>
  </si>
  <si>
    <t>Milton</t>
  </si>
  <si>
    <t>PROD037</t>
  </si>
  <si>
    <t>Kent</t>
  </si>
  <si>
    <t>PROD038</t>
  </si>
  <si>
    <t>PROD039</t>
  </si>
  <si>
    <t>Prestige</t>
  </si>
  <si>
    <t>PROD040</t>
  </si>
  <si>
    <t>PROD041</t>
  </si>
  <si>
    <t>Strauss</t>
  </si>
  <si>
    <t>PROD042</t>
  </si>
  <si>
    <t>Decathlon</t>
  </si>
  <si>
    <t>PROD043</t>
  </si>
  <si>
    <t>Boldfit</t>
  </si>
  <si>
    <t>PROD044</t>
  </si>
  <si>
    <t>Li-Ning</t>
  </si>
  <si>
    <t>PROD045</t>
  </si>
  <si>
    <t>Cosco</t>
  </si>
  <si>
    <t>PROD046</t>
  </si>
  <si>
    <t>PROD047</t>
  </si>
  <si>
    <t>PROD048</t>
  </si>
  <si>
    <t>PROD049</t>
  </si>
  <si>
    <t>PROD050</t>
  </si>
  <si>
    <t>Nivia</t>
  </si>
  <si>
    <t>PROD051</t>
  </si>
  <si>
    <t>Lakme</t>
  </si>
  <si>
    <t>PROD052</t>
  </si>
  <si>
    <t>Nivea</t>
  </si>
  <si>
    <t>PROD053</t>
  </si>
  <si>
    <t>Biotique</t>
  </si>
  <si>
    <t>PROD054</t>
  </si>
  <si>
    <t>Garnier</t>
  </si>
  <si>
    <t>PROD055</t>
  </si>
  <si>
    <t>PROD056</t>
  </si>
  <si>
    <t>Himalaya</t>
  </si>
  <si>
    <t>PROD057</t>
  </si>
  <si>
    <t>PROD058</t>
  </si>
  <si>
    <t>Loreal</t>
  </si>
  <si>
    <t>PROD059</t>
  </si>
  <si>
    <t>PROD060</t>
  </si>
  <si>
    <t>PROD061</t>
  </si>
  <si>
    <t>Pearson</t>
  </si>
  <si>
    <t>PROD062</t>
  </si>
  <si>
    <t>Luxor</t>
  </si>
  <si>
    <t>PROD063</t>
  </si>
  <si>
    <t>Reynolds</t>
  </si>
  <si>
    <t>PROD064</t>
  </si>
  <si>
    <t>Penguin</t>
  </si>
  <si>
    <t>PROD065</t>
  </si>
  <si>
    <t>PROD066</t>
  </si>
  <si>
    <t>Cello</t>
  </si>
  <si>
    <t>PROD067</t>
  </si>
  <si>
    <t>Casio</t>
  </si>
  <si>
    <t>PROD068</t>
  </si>
  <si>
    <t>PROD069</t>
  </si>
  <si>
    <t>PROD070</t>
  </si>
  <si>
    <t>PROD071</t>
  </si>
  <si>
    <t>Disney</t>
  </si>
  <si>
    <t>PROD072</t>
  </si>
  <si>
    <t>Fisher-Price</t>
  </si>
  <si>
    <t>PROD073</t>
  </si>
  <si>
    <t>Funskool</t>
  </si>
  <si>
    <t>PROD074</t>
  </si>
  <si>
    <t>Lego</t>
  </si>
  <si>
    <t>PROD075</t>
  </si>
  <si>
    <t>PROD076</t>
  </si>
  <si>
    <t>Playgro</t>
  </si>
  <si>
    <t>PROD077</t>
  </si>
  <si>
    <t>PROD078</t>
  </si>
  <si>
    <t>PROD079</t>
  </si>
  <si>
    <t>Hasbro</t>
  </si>
  <si>
    <t>PROD080</t>
  </si>
  <si>
    <t>Month</t>
  </si>
  <si>
    <t>Year</t>
  </si>
  <si>
    <t>Month_Year</t>
  </si>
  <si>
    <t>Total_Revenue</t>
  </si>
  <si>
    <t>Avg_Order_Value</t>
  </si>
  <si>
    <t>Top_Category</t>
  </si>
  <si>
    <t>Total_Discount_Given</t>
  </si>
  <si>
    <t>Returns</t>
  </si>
  <si>
    <t>New_Customers</t>
  </si>
  <si>
    <t>Jan</t>
  </si>
  <si>
    <t>Jan-2023</t>
  </si>
  <si>
    <t>Feb</t>
  </si>
  <si>
    <t>Feb-2023</t>
  </si>
  <si>
    <t>Mar</t>
  </si>
  <si>
    <t>Mar-2023</t>
  </si>
  <si>
    <t>Apr</t>
  </si>
  <si>
    <t>Apr-2023</t>
  </si>
  <si>
    <t>May</t>
  </si>
  <si>
    <t>May-2023</t>
  </si>
  <si>
    <t>Jun</t>
  </si>
  <si>
    <t>Jun-2023</t>
  </si>
  <si>
    <t>Jul</t>
  </si>
  <si>
    <t>Jul-2023</t>
  </si>
  <si>
    <t>Aug</t>
  </si>
  <si>
    <t>Aug-2023</t>
  </si>
  <si>
    <t>Sep</t>
  </si>
  <si>
    <t>Sep-2023</t>
  </si>
  <si>
    <t>Oct</t>
  </si>
  <si>
    <t>Oct-2023</t>
  </si>
  <si>
    <t>Nov</t>
  </si>
  <si>
    <t>Nov-2023</t>
  </si>
  <si>
    <t>Dec</t>
  </si>
  <si>
    <t>Dec-2023</t>
  </si>
  <si>
    <t>Jan-2024</t>
  </si>
  <si>
    <t>Feb-2024</t>
  </si>
  <si>
    <t>Mar-2024</t>
  </si>
  <si>
    <t>Apr-2024</t>
  </si>
  <si>
    <t>May-2024</t>
  </si>
  <si>
    <t>Jun-2024</t>
  </si>
  <si>
    <t>Total_Amount_Before_Discount</t>
  </si>
  <si>
    <t>Discount_Amount</t>
  </si>
  <si>
    <t>Profit_Estimate</t>
  </si>
  <si>
    <t>Order_Month</t>
  </si>
  <si>
    <t>Order_Year</t>
  </si>
  <si>
    <t>Delivery_Status</t>
  </si>
  <si>
    <t>Revenue_Band</t>
  </si>
  <si>
    <t>Weekend_Order</t>
  </si>
  <si>
    <t>Age_Group</t>
  </si>
  <si>
    <t>Customer_Level</t>
  </si>
  <si>
    <t>Membership_Duration</t>
  </si>
  <si>
    <t>Spending_Category</t>
  </si>
  <si>
    <t>Customer_Status</t>
  </si>
  <si>
    <t>Profit_Per_Unit</t>
  </si>
  <si>
    <t>Inventory_Value</t>
  </si>
  <si>
    <t>Stock_Status</t>
  </si>
  <si>
    <t>Rating_Category</t>
  </si>
  <si>
    <t>Expected_Profit</t>
  </si>
  <si>
    <t>Return_Rate_%</t>
  </si>
  <si>
    <t>Customer_Growth_Rate</t>
  </si>
  <si>
    <t>Revenue_Category</t>
  </si>
  <si>
    <t>Discount_Impact_%</t>
  </si>
  <si>
    <t>Business_performance</t>
  </si>
  <si>
    <t>Row Labels</t>
  </si>
  <si>
    <t>Grand Total</t>
  </si>
  <si>
    <t>Sum of Total_Revenue</t>
  </si>
  <si>
    <t>Sum of Final_Price</t>
  </si>
  <si>
    <t>Sum of Quantity</t>
  </si>
  <si>
    <t>Sum of Total_Orders</t>
  </si>
  <si>
    <t>Count of Order_Status</t>
  </si>
  <si>
    <t>Sum of Total_Spent</t>
  </si>
  <si>
    <t>Reorderd Needed</t>
  </si>
  <si>
    <t>Sufficient</t>
  </si>
  <si>
    <t>Sum of Stock_Available</t>
  </si>
  <si>
    <t>Sum of Inventory_Value</t>
  </si>
  <si>
    <t xml:space="preserve">Total Customers </t>
  </si>
  <si>
    <t>Premium Members</t>
  </si>
  <si>
    <t>Active Customers</t>
  </si>
  <si>
    <t>Loyal Customers</t>
  </si>
  <si>
    <t>(blank)</t>
  </si>
  <si>
    <t/>
  </si>
  <si>
    <t>Young</t>
  </si>
  <si>
    <t>Adult</t>
  </si>
  <si>
    <t>Senoir</t>
  </si>
  <si>
    <t>Average of Profit_Margin_Pct</t>
  </si>
  <si>
    <t>Total Orders</t>
  </si>
  <si>
    <t>Ave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</si>
</sst>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quot;₹&quot;\ #,##0.00"/>
    <numFmt numFmtId="166" formatCode="&quot;₹&quot;\ #,##0.00\ &quot;L&quot;"/>
    <numFmt numFmtId="167" formatCode="&quot;₹&quot;\ #,##0"/>
  </numFmts>
  <fonts count="3" x14ac:knownFonts="1">
    <font>
      <sz val="11"/>
      <color theme="1"/>
      <name val="Calibri"/>
      <family val="2"/>
      <scheme val="minor"/>
    </font>
    <font>
      <b/>
      <sz val="11"/>
      <color rgb="FFFFFFFF"/>
      <name val="Calibri"/>
    </font>
    <font>
      <sz val="10"/>
      <name val="Calibri"/>
    </font>
  </fonts>
  <fills count="8">
    <fill>
      <patternFill patternType="none"/>
    </fill>
    <fill>
      <patternFill patternType="gray125"/>
    </fill>
    <fill>
      <patternFill patternType="solid">
        <fgColor rgb="FF1B3A6B"/>
      </patternFill>
    </fill>
    <fill>
      <patternFill patternType="solid">
        <fgColor rgb="FFEBF3FB"/>
      </patternFill>
    </fill>
    <fill>
      <patternFill patternType="solid">
        <fgColor rgb="FF00204F"/>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0"/>
        <bgColor indexed="64"/>
      </patternFill>
    </fill>
  </fills>
  <borders count="10">
    <border>
      <left/>
      <right/>
      <top/>
      <bottom/>
      <diagonal/>
    </border>
    <border>
      <left style="thin">
        <color rgb="FFB8CCE4"/>
      </left>
      <right style="thin">
        <color rgb="FFB8CCE4"/>
      </right>
      <top style="thin">
        <color rgb="FFB8CCE4"/>
      </top>
      <bottom style="thin">
        <color rgb="FFB8CCE4"/>
      </bottom>
      <diagonal/>
    </border>
    <border>
      <left style="thin">
        <color rgb="FFB8CCE4"/>
      </left>
      <right style="thin">
        <color rgb="FFB8CCE4"/>
      </right>
      <top/>
      <bottom/>
      <diagonal/>
    </border>
    <border>
      <left/>
      <right style="thin">
        <color rgb="FFB8CCE4"/>
      </right>
      <top style="thin">
        <color rgb="FFB8CCE4"/>
      </top>
      <bottom style="thin">
        <color rgb="FFB8CCE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0" fillId="0" borderId="0" xfId="0" applyAlignment="1">
      <alignment horizontal="center"/>
    </xf>
    <xf numFmtId="0" fontId="1" fillId="2" borderId="3" xfId="0" applyFont="1" applyFill="1" applyBorder="1" applyAlignment="1">
      <alignment horizontal="center" vertical="center" wrapText="1"/>
    </xf>
    <xf numFmtId="0" fontId="2" fillId="3" borderId="3" xfId="0" applyFont="1" applyFill="1" applyBorder="1" applyAlignment="1">
      <alignment horizontal="center" vertical="center"/>
    </xf>
    <xf numFmtId="0" fontId="2" fillId="0" borderId="3" xfId="0" applyFont="1" applyBorder="1" applyAlignment="1">
      <alignment horizontal="center" vertical="center"/>
    </xf>
    <xf numFmtId="0" fontId="1" fillId="4" borderId="2" xfId="0" applyFont="1" applyFill="1" applyBorder="1" applyAlignment="1">
      <alignment horizontal="center" vertical="center" wrapText="1"/>
    </xf>
    <xf numFmtId="0" fontId="0" fillId="4" borderId="0" xfId="0" applyFill="1" applyAlignment="1">
      <alignment horizontal="center" vertical="center"/>
    </xf>
    <xf numFmtId="0" fontId="0" fillId="0" borderId="0" xfId="0" pivotButton="1"/>
    <xf numFmtId="0" fontId="0" fillId="0" borderId="0" xfId="0" applyAlignment="1">
      <alignment horizontal="left"/>
    </xf>
    <xf numFmtId="165" fontId="0" fillId="0" borderId="0" xfId="0" applyNumberFormat="1"/>
    <xf numFmtId="4" fontId="0" fillId="0" borderId="0" xfId="0" applyNumberFormat="1"/>
    <xf numFmtId="0" fontId="0" fillId="6" borderId="4" xfId="0" applyFill="1" applyBorder="1"/>
    <xf numFmtId="0" fontId="0" fillId="6" borderId="5" xfId="0" applyFill="1" applyBorder="1"/>
    <xf numFmtId="0" fontId="0" fillId="6" borderId="6" xfId="0" applyFill="1" applyBorder="1"/>
    <xf numFmtId="0" fontId="0" fillId="5" borderId="4" xfId="0" applyFill="1" applyBorder="1"/>
    <xf numFmtId="0" fontId="0" fillId="5" borderId="5" xfId="0" applyFill="1" applyBorder="1"/>
    <xf numFmtId="0" fontId="0" fillId="5" borderId="6" xfId="0" applyFill="1" applyBorder="1"/>
    <xf numFmtId="0" fontId="0" fillId="5" borderId="7" xfId="0" applyFill="1" applyBorder="1"/>
    <xf numFmtId="0" fontId="0" fillId="5" borderId="8" xfId="0" applyFill="1" applyBorder="1"/>
    <xf numFmtId="0" fontId="0" fillId="5" borderId="9" xfId="0" applyFill="1" applyBorder="1"/>
    <xf numFmtId="166" fontId="0" fillId="0" borderId="0" xfId="0" applyNumberFormat="1"/>
    <xf numFmtId="167" fontId="0" fillId="0" borderId="0" xfId="0" applyNumberFormat="1"/>
    <xf numFmtId="0" fontId="0" fillId="7" borderId="0" xfId="0" applyFill="1"/>
    <xf numFmtId="0" fontId="0" fillId="0" borderId="0" xfId="0" applyNumberFormat="1"/>
  </cellXfs>
  <cellStyles count="1">
    <cellStyle name="Normal" xfId="0" builtinId="0"/>
  </cellStyles>
  <dxfs count="83">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right style="thin">
          <color rgb="FFB8CCE4"/>
        </right>
        <top style="thin">
          <color rgb="FFB8CCE4"/>
        </top>
        <bottom style="thin">
          <color rgb="FFB8CCE4"/>
        </bottom>
        <vertical/>
        <horizontal/>
      </border>
    </dxf>
    <dxf>
      <border outline="0">
        <left style="thin">
          <color rgb="FFB8CCE4"/>
        </left>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right style="thin">
          <color rgb="FFB8CCE4"/>
        </right>
        <top style="thin">
          <color rgb="FFB8CCE4"/>
        </top>
        <bottom style="thin">
          <color rgb="FFB8CCE4"/>
        </bottom>
        <vertical/>
        <horizontal/>
      </border>
    </dxf>
    <dxf>
      <border outline="0">
        <left style="thin">
          <color rgb="FFB8CCE4"/>
        </left>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numFmt numFmtId="164" formatCode="yyyy\-mm\-dd"/>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right style="thin">
          <color rgb="FFB8CCE4"/>
        </right>
        <top style="thin">
          <color rgb="FFB8CCE4"/>
        </top>
        <bottom style="thin">
          <color rgb="FFB8CCE4"/>
        </bottom>
        <vertical/>
        <horizontal/>
      </border>
    </dxf>
    <dxf>
      <border outline="0">
        <left style="thin">
          <color rgb="FFB8CCE4"/>
        </left>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numFmt numFmtId="164" formatCode="yyyy\-mm\-dd"/>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style="thin">
          <color rgb="FFB8CCE4"/>
        </left>
        <right style="thin">
          <color rgb="FFB8CCE4"/>
        </right>
        <top style="thin">
          <color rgb="FFB8CCE4"/>
        </top>
        <bottom style="thin">
          <color rgb="FFB8CCE4"/>
        </bottom>
        <vertical/>
        <horizontal/>
      </border>
    </dxf>
    <dxf>
      <font>
        <b val="0"/>
        <i val="0"/>
        <strike val="0"/>
        <condense val="0"/>
        <extend val="0"/>
        <outline val="0"/>
        <shadow val="0"/>
        <u val="none"/>
        <vertAlign val="baseline"/>
        <sz val="10"/>
        <color auto="1"/>
        <name val="Calibri"/>
        <scheme val="none"/>
      </font>
      <alignment horizontal="center" vertical="center" textRotation="0" wrapText="0" indent="0" justifyLastLine="0" shrinkToFit="0" readingOrder="0"/>
      <border diagonalUp="0" diagonalDown="0">
        <left/>
        <right style="thin">
          <color rgb="FFB8CCE4"/>
        </right>
        <top style="thin">
          <color rgb="FFB8CCE4"/>
        </top>
        <bottom style="thin">
          <color rgb="FFB8CCE4"/>
        </bottom>
        <vertical/>
        <horizontal/>
      </border>
    </dxf>
    <dxf>
      <border outline="0">
        <left style="thin">
          <color rgb="FFB8CCE4"/>
        </left>
      </border>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[ECommerce_Major_Project_Dataset (2).xlsx]Sales_Data!PivotTable2</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Sales_Data!$AD$4</c:f>
              <c:strCache>
                <c:ptCount val="1"/>
                <c:pt idx="0">
                  <c:v>Total</c:v>
                </c:pt>
              </c:strCache>
            </c:strRef>
          </c:tx>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Sales_Data!$AC$5:$AC$13</c:f>
              <c:strCache>
                <c:ptCount val="8"/>
                <c:pt idx="0">
                  <c:v>Beauty &amp; Personal</c:v>
                </c:pt>
                <c:pt idx="1">
                  <c:v>Books &amp; Stationery</c:v>
                </c:pt>
                <c:pt idx="2">
                  <c:v>Clothing</c:v>
                </c:pt>
                <c:pt idx="3">
                  <c:v>Electronics</c:v>
                </c:pt>
                <c:pt idx="4">
                  <c:v>Grocery</c:v>
                </c:pt>
                <c:pt idx="5">
                  <c:v>Home &amp; Kitchen</c:v>
                </c:pt>
                <c:pt idx="6">
                  <c:v>Sports &amp; Fitness</c:v>
                </c:pt>
                <c:pt idx="7">
                  <c:v>Toys &amp; Baby</c:v>
                </c:pt>
              </c:strCache>
            </c:strRef>
          </c:cat>
          <c:val>
            <c:numRef>
              <c:f>Sales_Data!$AD$5:$AD$13</c:f>
              <c:numCache>
                <c:formatCode>General</c:formatCode>
                <c:ptCount val="8"/>
                <c:pt idx="0">
                  <c:v>60894</c:v>
                </c:pt>
                <c:pt idx="1">
                  <c:v>61999.4</c:v>
                </c:pt>
                <c:pt idx="2">
                  <c:v>203988</c:v>
                </c:pt>
                <c:pt idx="3">
                  <c:v>2305480</c:v>
                </c:pt>
                <c:pt idx="4">
                  <c:v>33383.75</c:v>
                </c:pt>
                <c:pt idx="5">
                  <c:v>431084</c:v>
                </c:pt>
                <c:pt idx="6">
                  <c:v>164140</c:v>
                </c:pt>
                <c:pt idx="7">
                  <c:v>134420</c:v>
                </c:pt>
              </c:numCache>
            </c:numRef>
          </c:val>
          <c:extLst>
            <c:ext xmlns:c16="http://schemas.microsoft.com/office/drawing/2014/chart" uri="{C3380CC4-5D6E-409C-BE32-E72D297353CC}">
              <c16:uniqueId val="{00000000-2627-48B2-A791-1D79044B004C}"/>
            </c:ext>
          </c:extLst>
        </c:ser>
        <c:dLbls>
          <c:dLblPos val="inEnd"/>
          <c:showLegendKey val="0"/>
          <c:showVal val="1"/>
          <c:showCatName val="0"/>
          <c:showSerName val="0"/>
          <c:showPercent val="0"/>
          <c:showBubbleSize val="0"/>
        </c:dLbls>
        <c:gapWidth val="48"/>
        <c:overlap val="100"/>
        <c:axId val="1521130960"/>
        <c:axId val="1521131440"/>
      </c:barChart>
      <c:catAx>
        <c:axId val="15211309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131440"/>
        <c:crosses val="autoZero"/>
        <c:auto val="1"/>
        <c:lblAlgn val="ctr"/>
        <c:lblOffset val="100"/>
        <c:noMultiLvlLbl val="0"/>
      </c:catAx>
      <c:valAx>
        <c:axId val="1521131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13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[ECommerce_Major_Project_Dataset (2).xlsx]Sales_Data!PivotTable4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Mode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6666666666666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416666666666666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000000000000005"/>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66666666666666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3888888888888884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5"/>
              <c:y val="-4.16666666666666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85586176727909"/>
          <c:y val="0.14249781277340332"/>
          <c:w val="0.48178040244969389"/>
          <c:h val="0.80296733741615645"/>
        </c:manualLayout>
      </c:layout>
      <c:doughnutChart>
        <c:varyColors val="1"/>
        <c:ser>
          <c:idx val="0"/>
          <c:order val="0"/>
          <c:tx>
            <c:strRef>
              <c:f>Sales_Data!$AD$16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7D7C-41B1-AF07-DB52E06C0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7C-41B1-AF07-DB52E06C09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7D7C-41B1-AF07-DB52E06C09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8-7D7C-41B1-AF07-DB52E06C09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7D7C-41B1-AF07-DB52E06C093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7D7C-41B1-AF07-DB52E06C093F}"/>
              </c:ext>
            </c:extLst>
          </c:dPt>
          <c:dLbls>
            <c:dLbl>
              <c:idx val="0"/>
              <c:layout>
                <c:manualLayout>
                  <c:x val="0.125"/>
                  <c:y val="-4.166666666666668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D7C-41B1-AF07-DB52E06C093F}"/>
                </c:ext>
              </c:extLst>
            </c:dLbl>
            <c:dLbl>
              <c:idx val="1"/>
              <c:layout>
                <c:manualLayout>
                  <c:x val="0.11666666666666667"/>
                  <c:y val="-4.62962962962962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D7C-41B1-AF07-DB52E06C093F}"/>
                </c:ext>
              </c:extLst>
            </c:dLbl>
            <c:dLbl>
              <c:idx val="2"/>
              <c:layout>
                <c:manualLayout>
                  <c:x val="0.14166666666666666"/>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D7C-41B1-AF07-DB52E06C093F}"/>
                </c:ext>
              </c:extLst>
            </c:dLbl>
            <c:dLbl>
              <c:idx val="3"/>
              <c:layout>
                <c:manualLayout>
                  <c:x val="-0.10000000000000005"/>
                  <c:y val="7.4074074074074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7D7C-41B1-AF07-DB52E06C093F}"/>
                </c:ext>
              </c:extLst>
            </c:dLbl>
            <c:dLbl>
              <c:idx val="4"/>
              <c:layout>
                <c:manualLayout>
                  <c:x val="-0.11666666666666667"/>
                  <c:y val="3.24074074074074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7D7C-41B1-AF07-DB52E06C093F}"/>
                </c:ext>
              </c:extLst>
            </c:dLbl>
            <c:dLbl>
              <c:idx val="5"/>
              <c:layout>
                <c:manualLayout>
                  <c:x val="-6.3888888888888884E-2"/>
                  <c:y val="-9.25925925925925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D7C-41B1-AF07-DB52E06C09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Sales_Data!$AC$17:$AC$23</c:f>
              <c:strCache>
                <c:ptCount val="6"/>
                <c:pt idx="0">
                  <c:v>Cash on Delivery</c:v>
                </c:pt>
                <c:pt idx="1">
                  <c:v>Credit Card</c:v>
                </c:pt>
                <c:pt idx="2">
                  <c:v>Debit Card</c:v>
                </c:pt>
                <c:pt idx="3">
                  <c:v>Net Banking</c:v>
                </c:pt>
                <c:pt idx="4">
                  <c:v>UPI</c:v>
                </c:pt>
                <c:pt idx="5">
                  <c:v>Wallet</c:v>
                </c:pt>
              </c:strCache>
            </c:strRef>
          </c:cat>
          <c:val>
            <c:numRef>
              <c:f>Sales_Data!$AD$17:$AD$23</c:f>
              <c:numCache>
                <c:formatCode>General</c:formatCode>
                <c:ptCount val="6"/>
                <c:pt idx="0">
                  <c:v>70</c:v>
                </c:pt>
                <c:pt idx="1">
                  <c:v>97</c:v>
                </c:pt>
                <c:pt idx="2">
                  <c:v>90</c:v>
                </c:pt>
                <c:pt idx="3">
                  <c:v>57</c:v>
                </c:pt>
                <c:pt idx="4">
                  <c:v>136</c:v>
                </c:pt>
                <c:pt idx="5">
                  <c:v>50</c:v>
                </c:pt>
              </c:numCache>
            </c:numRef>
          </c:val>
          <c:extLst>
            <c:ext xmlns:c16="http://schemas.microsoft.com/office/drawing/2014/chart" uri="{C3380CC4-5D6E-409C-BE32-E72D297353CC}">
              <c16:uniqueId val="{00000000-7D7C-41B1-AF07-DB52E06C093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[ECommerce_Major_Project_Dataset (2).xlsx]Sales_Data!PivotTable6</c:name>
    <c:fmtId val="4"/>
  </c:pivotSource>
  <c:chart>
    <c:autoTitleDeleted val="0"/>
    <c:pivotFmts>
      <c:pivotFmt>
        <c:idx val="0"/>
        <c:spPr>
          <a:gradFill rotWithShape="1">
            <a:gsLst>
              <a:gs pos="0">
                <a:schemeClr val="accent1">
                  <a:tint val="10000"/>
                  <a:satMod val="300000"/>
                </a:schemeClr>
              </a:gs>
              <a:gs pos="34000">
                <a:schemeClr val="accent1">
                  <a:tint val="13500"/>
                  <a:satMod val="250000"/>
                </a:schemeClr>
              </a:gs>
              <a:gs pos="100000">
                <a:schemeClr val="accent1">
                  <a:tint val="60000"/>
                  <a:satMod val="200000"/>
                </a:schemeClr>
              </a:gs>
            </a:gsLst>
            <a:path path="circle">
              <a:fillToRect l="50000" t="155000" r="50000" b="-55000"/>
            </a:path>
          </a:gradFill>
          <a:ln w="9525" cap="flat" cmpd="sng" algn="ctr">
            <a:solidFill>
              <a:schemeClr val="accent1">
                <a:shade val="95000"/>
              </a:schemeClr>
            </a:solidFill>
            <a:round/>
          </a:ln>
          <a:effectLst>
            <a:outerShdw blurRad="63500" dist="25400" dir="14700000" algn="t" rotWithShape="0">
              <a:srgbClr val="00000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
                  <a:satMod val="300000"/>
                </a:schemeClr>
              </a:gs>
              <a:gs pos="34000">
                <a:schemeClr val="accent1">
                  <a:tint val="13500"/>
                  <a:satMod val="250000"/>
                </a:schemeClr>
              </a:gs>
              <a:gs pos="100000">
                <a:schemeClr val="accent1">
                  <a:tint val="60000"/>
                  <a:satMod val="200000"/>
                </a:schemeClr>
              </a:gs>
            </a:gsLst>
            <a:path path="circle">
              <a:fillToRect l="50000" t="155000" r="50000" b="-55000"/>
            </a:path>
          </a:gradFill>
          <a:ln w="9525" cap="flat" cmpd="sng" algn="ctr">
            <a:solidFill>
              <a:schemeClr val="accent1">
                <a:shade val="95000"/>
              </a:schemeClr>
            </a:solidFill>
            <a:round/>
          </a:ln>
          <a:effectLst>
            <a:outerShdw blurRad="63500" dist="25400" dir="14700000" algn="t" rotWithShape="0">
              <a:srgbClr val="00000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Sales_Data!$AE$26</c:f>
              <c:strCache>
                <c:ptCount val="1"/>
                <c:pt idx="0">
                  <c:v>Sum of Quantity</c:v>
                </c:pt>
              </c:strCache>
            </c:strRef>
          </c:tx>
          <c:spPr>
            <a:gradFill rotWithShape="1">
              <a:gsLst>
                <a:gs pos="0">
                  <a:schemeClr val="accent2">
                    <a:tint val="10000"/>
                    <a:satMod val="300000"/>
                  </a:schemeClr>
                </a:gs>
                <a:gs pos="34000">
                  <a:schemeClr val="accent2">
                    <a:tint val="13500"/>
                    <a:satMod val="250000"/>
                  </a:schemeClr>
                </a:gs>
                <a:gs pos="100000">
                  <a:schemeClr val="accent2">
                    <a:tint val="60000"/>
                    <a:satMod val="200000"/>
                  </a:schemeClr>
                </a:gs>
              </a:gsLst>
              <a:path path="circle">
                <a:fillToRect l="50000" t="155000" r="50000" b="-55000"/>
              </a:path>
            </a:gradFill>
            <a:ln w="9525" cap="flat" cmpd="sng" algn="ctr">
              <a:solidFill>
                <a:schemeClr val="accent2">
                  <a:shade val="95000"/>
                </a:schemeClr>
              </a:solidFill>
              <a:round/>
            </a:ln>
            <a:effectLst>
              <a:outerShdw blurRad="63500" dist="25400" dir="14700000" algn="t" rotWithShape="0">
                <a:srgbClr val="000000">
                  <a:alpha val="50000"/>
                </a:srgbClr>
              </a:outerShdw>
            </a:effectLst>
          </c:spPr>
          <c:cat>
            <c:strRef>
              <c:f>Sales_Data!$AC$27:$AC$51</c:f>
              <c:strCache>
                <c:ptCount val="24"/>
                <c:pt idx="0">
                  <c:v>Mumbai</c:v>
                </c:pt>
                <c:pt idx="1">
                  <c:v>Erode</c:v>
                </c:pt>
                <c:pt idx="2">
                  <c:v>Kochi</c:v>
                </c:pt>
                <c:pt idx="3">
                  <c:v>Hyderabad</c:v>
                </c:pt>
                <c:pt idx="4">
                  <c:v>Trichy</c:v>
                </c:pt>
                <c:pt idx="5">
                  <c:v>Tirunelveli</c:v>
                </c:pt>
                <c:pt idx="6">
                  <c:v>Cuddalore</c:v>
                </c:pt>
                <c:pt idx="7">
                  <c:v>Bangalore</c:v>
                </c:pt>
                <c:pt idx="8">
                  <c:v>Nagercoil</c:v>
                </c:pt>
                <c:pt idx="9">
                  <c:v>Karur</c:v>
                </c:pt>
                <c:pt idx="10">
                  <c:v>Hosur</c:v>
                </c:pt>
                <c:pt idx="11">
                  <c:v>Tiruppur</c:v>
                </c:pt>
                <c:pt idx="12">
                  <c:v>Sivakasi</c:v>
                </c:pt>
                <c:pt idx="13">
                  <c:v>Chennai</c:v>
                </c:pt>
                <c:pt idx="14">
                  <c:v>Delhi</c:v>
                </c:pt>
                <c:pt idx="15">
                  <c:v>Thanjavur</c:v>
                </c:pt>
                <c:pt idx="16">
                  <c:v>Dindigul</c:v>
                </c:pt>
                <c:pt idx="17">
                  <c:v>Vellore</c:v>
                </c:pt>
                <c:pt idx="18">
                  <c:v>Namakkal</c:v>
                </c:pt>
                <c:pt idx="19">
                  <c:v>Coimbatore</c:v>
                </c:pt>
                <c:pt idx="20">
                  <c:v>Kumbakonam</c:v>
                </c:pt>
                <c:pt idx="21">
                  <c:v>Pune</c:v>
                </c:pt>
                <c:pt idx="22">
                  <c:v>Salem</c:v>
                </c:pt>
                <c:pt idx="23">
                  <c:v>Madurai</c:v>
                </c:pt>
              </c:strCache>
            </c:strRef>
          </c:cat>
          <c:val>
            <c:numRef>
              <c:f>Sales_Data!$AE$27:$AE$51</c:f>
              <c:numCache>
                <c:formatCode>General</c:formatCode>
                <c:ptCount val="24"/>
                <c:pt idx="0">
                  <c:v>58</c:v>
                </c:pt>
                <c:pt idx="1">
                  <c:v>61</c:v>
                </c:pt>
                <c:pt idx="2">
                  <c:v>61</c:v>
                </c:pt>
                <c:pt idx="3">
                  <c:v>86</c:v>
                </c:pt>
                <c:pt idx="4">
                  <c:v>77</c:v>
                </c:pt>
                <c:pt idx="5">
                  <c:v>111</c:v>
                </c:pt>
                <c:pt idx="6">
                  <c:v>35</c:v>
                </c:pt>
                <c:pt idx="7">
                  <c:v>32</c:v>
                </c:pt>
                <c:pt idx="8">
                  <c:v>84</c:v>
                </c:pt>
                <c:pt idx="9">
                  <c:v>42</c:v>
                </c:pt>
                <c:pt idx="10">
                  <c:v>78</c:v>
                </c:pt>
                <c:pt idx="11">
                  <c:v>70</c:v>
                </c:pt>
                <c:pt idx="12">
                  <c:v>62</c:v>
                </c:pt>
                <c:pt idx="13">
                  <c:v>41</c:v>
                </c:pt>
                <c:pt idx="14">
                  <c:v>37</c:v>
                </c:pt>
                <c:pt idx="15">
                  <c:v>69</c:v>
                </c:pt>
                <c:pt idx="16">
                  <c:v>39</c:v>
                </c:pt>
                <c:pt idx="17">
                  <c:v>45</c:v>
                </c:pt>
                <c:pt idx="18">
                  <c:v>49</c:v>
                </c:pt>
                <c:pt idx="19">
                  <c:v>21</c:v>
                </c:pt>
                <c:pt idx="20">
                  <c:v>33</c:v>
                </c:pt>
                <c:pt idx="21">
                  <c:v>27</c:v>
                </c:pt>
                <c:pt idx="22">
                  <c:v>15</c:v>
                </c:pt>
                <c:pt idx="23">
                  <c:v>7</c:v>
                </c:pt>
              </c:numCache>
            </c:numRef>
          </c:val>
          <c:extLst>
            <c:ext xmlns:c16="http://schemas.microsoft.com/office/drawing/2014/chart" uri="{C3380CC4-5D6E-409C-BE32-E72D297353CC}">
              <c16:uniqueId val="{00000001-8778-457D-8843-31263793B564}"/>
            </c:ext>
          </c:extLst>
        </c:ser>
        <c:ser>
          <c:idx val="0"/>
          <c:order val="0"/>
          <c:tx>
            <c:strRef>
              <c:f>Sales_Data!$AD$26</c:f>
              <c:strCache>
                <c:ptCount val="1"/>
                <c:pt idx="0">
                  <c:v>Sum of Final_Price</c:v>
                </c:pt>
              </c:strCache>
            </c:strRef>
          </c:tx>
          <c:spPr>
            <a:gradFill rotWithShape="1">
              <a:gsLst>
                <a:gs pos="0">
                  <a:schemeClr val="accent1">
                    <a:tint val="10000"/>
                    <a:satMod val="300000"/>
                  </a:schemeClr>
                </a:gs>
                <a:gs pos="34000">
                  <a:schemeClr val="accent1">
                    <a:tint val="13500"/>
                    <a:satMod val="250000"/>
                  </a:schemeClr>
                </a:gs>
                <a:gs pos="100000">
                  <a:schemeClr val="accent1">
                    <a:tint val="60000"/>
                    <a:satMod val="200000"/>
                  </a:schemeClr>
                </a:gs>
              </a:gsLst>
              <a:path path="circle">
                <a:fillToRect l="50000" t="155000" r="50000" b="-55000"/>
              </a:path>
            </a:gradFill>
            <a:ln w="9525" cap="flat" cmpd="sng" algn="ctr">
              <a:solidFill>
                <a:schemeClr val="accent1">
                  <a:shade val="95000"/>
                </a:schemeClr>
              </a:solidFill>
              <a:round/>
            </a:ln>
            <a:effectLst>
              <a:outerShdw blurRad="63500" dist="25400" dir="14700000" algn="t" rotWithShape="0">
                <a:srgbClr val="000000">
                  <a:alpha val="50000"/>
                </a:srgbClr>
              </a:outerShdw>
            </a:effectLst>
          </c:spPr>
          <c:cat>
            <c:strRef>
              <c:f>Sales_Data!$AC$27:$AC$51</c:f>
              <c:strCache>
                <c:ptCount val="24"/>
                <c:pt idx="0">
                  <c:v>Mumbai</c:v>
                </c:pt>
                <c:pt idx="1">
                  <c:v>Erode</c:v>
                </c:pt>
                <c:pt idx="2">
                  <c:v>Kochi</c:v>
                </c:pt>
                <c:pt idx="3">
                  <c:v>Hyderabad</c:v>
                </c:pt>
                <c:pt idx="4">
                  <c:v>Trichy</c:v>
                </c:pt>
                <c:pt idx="5">
                  <c:v>Tirunelveli</c:v>
                </c:pt>
                <c:pt idx="6">
                  <c:v>Cuddalore</c:v>
                </c:pt>
                <c:pt idx="7">
                  <c:v>Bangalore</c:v>
                </c:pt>
                <c:pt idx="8">
                  <c:v>Nagercoil</c:v>
                </c:pt>
                <c:pt idx="9">
                  <c:v>Karur</c:v>
                </c:pt>
                <c:pt idx="10">
                  <c:v>Hosur</c:v>
                </c:pt>
                <c:pt idx="11">
                  <c:v>Tiruppur</c:v>
                </c:pt>
                <c:pt idx="12">
                  <c:v>Sivakasi</c:v>
                </c:pt>
                <c:pt idx="13">
                  <c:v>Chennai</c:v>
                </c:pt>
                <c:pt idx="14">
                  <c:v>Delhi</c:v>
                </c:pt>
                <c:pt idx="15">
                  <c:v>Thanjavur</c:v>
                </c:pt>
                <c:pt idx="16">
                  <c:v>Dindigul</c:v>
                </c:pt>
                <c:pt idx="17">
                  <c:v>Vellore</c:v>
                </c:pt>
                <c:pt idx="18">
                  <c:v>Namakkal</c:v>
                </c:pt>
                <c:pt idx="19">
                  <c:v>Coimbatore</c:v>
                </c:pt>
                <c:pt idx="20">
                  <c:v>Kumbakonam</c:v>
                </c:pt>
                <c:pt idx="21">
                  <c:v>Pune</c:v>
                </c:pt>
                <c:pt idx="22">
                  <c:v>Salem</c:v>
                </c:pt>
                <c:pt idx="23">
                  <c:v>Madurai</c:v>
                </c:pt>
              </c:strCache>
            </c:strRef>
          </c:cat>
          <c:val>
            <c:numRef>
              <c:f>Sales_Data!$AD$27:$AD$51</c:f>
              <c:numCache>
                <c:formatCode>General</c:formatCode>
                <c:ptCount val="24"/>
                <c:pt idx="0">
                  <c:v>483304.55</c:v>
                </c:pt>
                <c:pt idx="1">
                  <c:v>422087.95</c:v>
                </c:pt>
                <c:pt idx="2">
                  <c:v>299769.3</c:v>
                </c:pt>
                <c:pt idx="3">
                  <c:v>267554.2</c:v>
                </c:pt>
                <c:pt idx="4">
                  <c:v>237292.6</c:v>
                </c:pt>
                <c:pt idx="5">
                  <c:v>235763.15</c:v>
                </c:pt>
                <c:pt idx="6">
                  <c:v>200226.5</c:v>
                </c:pt>
                <c:pt idx="7">
                  <c:v>139297.79999999999</c:v>
                </c:pt>
                <c:pt idx="8">
                  <c:v>135811.6</c:v>
                </c:pt>
                <c:pt idx="9">
                  <c:v>125740.5</c:v>
                </c:pt>
                <c:pt idx="10">
                  <c:v>119411.5</c:v>
                </c:pt>
                <c:pt idx="11">
                  <c:v>106131</c:v>
                </c:pt>
                <c:pt idx="12">
                  <c:v>98141.5</c:v>
                </c:pt>
                <c:pt idx="13">
                  <c:v>93608.5</c:v>
                </c:pt>
                <c:pt idx="14">
                  <c:v>82397.5</c:v>
                </c:pt>
                <c:pt idx="15">
                  <c:v>82193.649999999994</c:v>
                </c:pt>
                <c:pt idx="16">
                  <c:v>72645</c:v>
                </c:pt>
                <c:pt idx="17">
                  <c:v>52248</c:v>
                </c:pt>
                <c:pt idx="18">
                  <c:v>46613.9</c:v>
                </c:pt>
                <c:pt idx="19">
                  <c:v>29873.5</c:v>
                </c:pt>
                <c:pt idx="20">
                  <c:v>29010.25</c:v>
                </c:pt>
                <c:pt idx="21">
                  <c:v>25067</c:v>
                </c:pt>
                <c:pt idx="22">
                  <c:v>6543.5</c:v>
                </c:pt>
                <c:pt idx="23">
                  <c:v>4656.2</c:v>
                </c:pt>
              </c:numCache>
            </c:numRef>
          </c:val>
          <c:extLst>
            <c:ext xmlns:c16="http://schemas.microsoft.com/office/drawing/2014/chart" uri="{C3380CC4-5D6E-409C-BE32-E72D297353CC}">
              <c16:uniqueId val="{00000000-8778-457D-8843-31263793B564}"/>
            </c:ext>
          </c:extLst>
        </c:ser>
        <c:dLbls>
          <c:showLegendKey val="0"/>
          <c:showVal val="0"/>
          <c:showCatName val="0"/>
          <c:showSerName val="0"/>
          <c:showPercent val="0"/>
          <c:showBubbleSize val="0"/>
        </c:dLbls>
        <c:axId val="453206703"/>
        <c:axId val="453211983"/>
      </c:areaChart>
      <c:catAx>
        <c:axId val="45320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3211983"/>
        <c:crosses val="autoZero"/>
        <c:auto val="1"/>
        <c:lblAlgn val="ctr"/>
        <c:lblOffset val="100"/>
        <c:noMultiLvlLbl val="0"/>
      </c:catAx>
      <c:valAx>
        <c:axId val="45321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32067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[ECommerce_Major_Project_Dataset (2).xlsx]Customer_Master!PivotTable5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Age</a:t>
            </a:r>
            <a:r>
              <a:rPr lang="en-IN" baseline="0"/>
              <a:t> Group Wise Revenue &amp; orders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0.3657407407407407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009E-2"/>
              <c:y val="-0.33333333333333331"/>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0.12962962962962971"/>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0"/>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1.388888888888899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0"/>
              <c:y val="-9.7222222222222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Customer_Master!$X$5</c:f>
              <c:strCache>
                <c:ptCount val="1"/>
                <c:pt idx="0">
                  <c:v>Sum of Total_Orders</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Pt>
            <c:idx val="0"/>
            <c:invertIfNegative val="0"/>
            <c:bubble3D val="0"/>
            <c:extLst>
              <c:ext xmlns:c16="http://schemas.microsoft.com/office/drawing/2014/chart" uri="{C3380CC4-5D6E-409C-BE32-E72D297353CC}">
                <c16:uniqueId val="{00000006-2D9A-4765-A001-F6BB220D84E1}"/>
              </c:ext>
            </c:extLst>
          </c:dPt>
          <c:dPt>
            <c:idx val="1"/>
            <c:invertIfNegative val="0"/>
            <c:bubble3D val="0"/>
            <c:extLst>
              <c:ext xmlns:c16="http://schemas.microsoft.com/office/drawing/2014/chart" uri="{C3380CC4-5D6E-409C-BE32-E72D297353CC}">
                <c16:uniqueId val="{00000008-2D9A-4765-A001-F6BB220D84E1}"/>
              </c:ext>
            </c:extLst>
          </c:dPt>
          <c:dPt>
            <c:idx val="2"/>
            <c:invertIfNegative val="0"/>
            <c:bubble3D val="0"/>
            <c:extLst>
              <c:ext xmlns:c16="http://schemas.microsoft.com/office/drawing/2014/chart" uri="{C3380CC4-5D6E-409C-BE32-E72D297353CC}">
                <c16:uniqueId val="{00000007-2D9A-4765-A001-F6BB220D84E1}"/>
              </c:ext>
            </c:extLst>
          </c:dPt>
          <c:dLbls>
            <c:dLbl>
              <c:idx val="0"/>
              <c:layout>
                <c:manualLayout>
                  <c:x val="0"/>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D9A-4765-A001-F6BB220D84E1}"/>
                </c:ext>
              </c:extLst>
            </c:dLbl>
            <c:dLbl>
              <c:idx val="1"/>
              <c:layout>
                <c:manualLayout>
                  <c:x val="0"/>
                  <c:y val="-9.7222222222222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D9A-4765-A001-F6BB220D84E1}"/>
                </c:ext>
              </c:extLst>
            </c:dLbl>
            <c:dLbl>
              <c:idx val="2"/>
              <c:layout>
                <c:manualLayout>
                  <c:x val="1.388888888888899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D9A-4765-A001-F6BB220D84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Customer_Master!$W$6:$W$9</c:f>
              <c:strCache>
                <c:ptCount val="3"/>
                <c:pt idx="0">
                  <c:v>Adult</c:v>
                </c:pt>
                <c:pt idx="1">
                  <c:v>Senoir</c:v>
                </c:pt>
                <c:pt idx="2">
                  <c:v>Young</c:v>
                </c:pt>
              </c:strCache>
            </c:strRef>
          </c:cat>
          <c:val>
            <c:numRef>
              <c:f>Customer_Master!$X$6:$X$9</c:f>
              <c:numCache>
                <c:formatCode>General</c:formatCode>
                <c:ptCount val="3"/>
                <c:pt idx="0">
                  <c:v>200</c:v>
                </c:pt>
                <c:pt idx="1">
                  <c:v>229</c:v>
                </c:pt>
                <c:pt idx="2">
                  <c:v>71</c:v>
                </c:pt>
              </c:numCache>
            </c:numRef>
          </c:val>
          <c:extLst>
            <c:ext xmlns:c16="http://schemas.microsoft.com/office/drawing/2014/chart" uri="{C3380CC4-5D6E-409C-BE32-E72D297353CC}">
              <c16:uniqueId val="{00000000-2D9A-4765-A001-F6BB220D84E1}"/>
            </c:ext>
          </c:extLst>
        </c:ser>
        <c:ser>
          <c:idx val="1"/>
          <c:order val="1"/>
          <c:tx>
            <c:strRef>
              <c:f>Customer_Master!$Y$5</c:f>
              <c:strCache>
                <c:ptCount val="1"/>
                <c:pt idx="0">
                  <c:v>Sum of Total_Spent</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Pt>
            <c:idx val="0"/>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D9A-4765-A001-F6BB220D84E1}"/>
              </c:ext>
            </c:extLst>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2D9A-4765-A001-F6BB220D84E1}"/>
              </c:ext>
            </c:extLst>
          </c:dPt>
          <c:dPt>
            <c:idx val="2"/>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D9A-4765-A001-F6BB220D84E1}"/>
              </c:ext>
            </c:extLst>
          </c:dPt>
          <c:dLbls>
            <c:dLbl>
              <c:idx val="0"/>
              <c:layout>
                <c:manualLayout>
                  <c:x val="1.9444444444444445E-2"/>
                  <c:y val="-0.3657407407407407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9A-4765-A001-F6BB220D84E1}"/>
                </c:ext>
              </c:extLst>
            </c:dLbl>
            <c:dLbl>
              <c:idx val="1"/>
              <c:layout>
                <c:manualLayout>
                  <c:x val="1.1111111111111009E-2"/>
                  <c:y val="-0.33333333333333331"/>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D9A-4765-A001-F6BB220D84E1}"/>
                </c:ext>
              </c:extLst>
            </c:dLbl>
            <c:dLbl>
              <c:idx val="2"/>
              <c:layout>
                <c:manualLayout>
                  <c:x val="1.6666666666666666E-2"/>
                  <c:y val="-0.12962962962962971"/>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9A-4765-A001-F6BB220D84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Customer_Master!$W$6:$W$9</c:f>
              <c:strCache>
                <c:ptCount val="3"/>
                <c:pt idx="0">
                  <c:v>Adult</c:v>
                </c:pt>
                <c:pt idx="1">
                  <c:v>Senoir</c:v>
                </c:pt>
                <c:pt idx="2">
                  <c:v>Young</c:v>
                </c:pt>
              </c:strCache>
            </c:strRef>
          </c:cat>
          <c:val>
            <c:numRef>
              <c:f>Customer_Master!$Y$6:$Y$9</c:f>
              <c:numCache>
                <c:formatCode>General</c:formatCode>
                <c:ptCount val="3"/>
                <c:pt idx="0">
                  <c:v>1782884.0999999999</c:v>
                </c:pt>
                <c:pt idx="1">
                  <c:v>1384488.85</c:v>
                </c:pt>
                <c:pt idx="2">
                  <c:v>228016.2</c:v>
                </c:pt>
              </c:numCache>
            </c:numRef>
          </c:val>
          <c:extLst>
            <c:ext xmlns:c16="http://schemas.microsoft.com/office/drawing/2014/chart" uri="{C3380CC4-5D6E-409C-BE32-E72D297353CC}">
              <c16:uniqueId val="{00000001-2D9A-4765-A001-F6BB220D84E1}"/>
            </c:ext>
          </c:extLst>
        </c:ser>
        <c:dLbls>
          <c:showLegendKey val="0"/>
          <c:showVal val="1"/>
          <c:showCatName val="0"/>
          <c:showSerName val="0"/>
          <c:showPercent val="0"/>
          <c:showBubbleSize val="0"/>
        </c:dLbls>
        <c:gapWidth val="150"/>
        <c:shape val="box"/>
        <c:axId val="453194703"/>
        <c:axId val="453193743"/>
        <c:axId val="0"/>
      </c:bar3DChart>
      <c:catAx>
        <c:axId val="4531947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193743"/>
        <c:crosses val="autoZero"/>
        <c:auto val="1"/>
        <c:lblAlgn val="ctr"/>
        <c:lblOffset val="100"/>
        <c:noMultiLvlLbl val="0"/>
      </c:catAx>
      <c:valAx>
        <c:axId val="453193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19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[ECommerce_Major_Project_Dataset (2).xlsx]Product_Master!PivotTable1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Product_Master!$S$8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C28-45A9-B98A-0F40374B991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C28-45A9-B98A-0F40374B991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C28-45A9-B98A-0F40374B991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C28-45A9-B98A-0F40374B9919}"/>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C28-45A9-B98A-0F40374B9919}"/>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Product_Master!$R$9:$R$14</c:f>
              <c:strCache>
                <c:ptCount val="5"/>
                <c:pt idx="0">
                  <c:v>Beauty &amp; Personal</c:v>
                </c:pt>
                <c:pt idx="1">
                  <c:v>Books &amp; Stationery</c:v>
                </c:pt>
                <c:pt idx="2">
                  <c:v>Electronics</c:v>
                </c:pt>
                <c:pt idx="3">
                  <c:v>Grocery</c:v>
                </c:pt>
                <c:pt idx="4">
                  <c:v>Sports &amp; Fitness</c:v>
                </c:pt>
              </c:strCache>
            </c:strRef>
          </c:cat>
          <c:val>
            <c:numRef>
              <c:f>Product_Master!$S$9:$S$14</c:f>
              <c:numCache>
                <c:formatCode>General</c:formatCode>
                <c:ptCount val="5"/>
                <c:pt idx="0">
                  <c:v>38.5</c:v>
                </c:pt>
                <c:pt idx="1">
                  <c:v>40.690000000000005</c:v>
                </c:pt>
                <c:pt idx="2">
                  <c:v>38.750000000000007</c:v>
                </c:pt>
                <c:pt idx="3">
                  <c:v>38.52000000000001</c:v>
                </c:pt>
                <c:pt idx="4">
                  <c:v>39.720000000000006</c:v>
                </c:pt>
              </c:numCache>
            </c:numRef>
          </c:val>
          <c:extLst>
            <c:ext xmlns:c16="http://schemas.microsoft.com/office/drawing/2014/chart" uri="{C3380CC4-5D6E-409C-BE32-E72D297353CC}">
              <c16:uniqueId val="{00000000-850B-465E-9249-A32721F09EA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[ECommerce_Major_Project_Dataset (2).xlsx]Monthly_Summary!PivotTable1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Montly</a:t>
            </a:r>
            <a:r>
              <a:rPr lang="en-IN" baseline="0"/>
              <a:t> Revenue VS Orders Trend</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3975" dist="41275" dir="14700000" algn="t" rotWithShape="0">
              <a:srgbClr val="000000">
                <a:alpha val="60000"/>
              </a:srgbClr>
            </a:outerShdw>
          </a:effectLst>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9525">
              <a:solidFill>
                <a:schemeClr val="accent2"/>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34925" cap="rnd">
            <a:solidFill>
              <a:schemeClr val="accent2"/>
            </a:solidFill>
            <a:round/>
          </a:ln>
          <a:effectLst>
            <a:outerShdw blurRad="53975" dist="41275" dir="14700000" algn="t" rotWithShape="0">
              <a:srgbClr val="000000">
                <a:alpha val="60000"/>
              </a:srgbClr>
            </a:outerShdw>
          </a:effectLst>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9525">
              <a:solidFill>
                <a:schemeClr val="accent2"/>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pivotFmt>
    </c:pivotFmts>
    <c:plotArea>
      <c:layout/>
      <c:barChart>
        <c:barDir val="col"/>
        <c:grouping val="clustered"/>
        <c:varyColors val="0"/>
        <c:ser>
          <c:idx val="0"/>
          <c:order val="0"/>
          <c:tx>
            <c:strRef>
              <c:f>Monthly_Summary!$H$23</c:f>
              <c:strCache>
                <c:ptCount val="1"/>
                <c:pt idx="0">
                  <c:v>Sum of Total_Revenue</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Monthly_Summary!$G$24:$G$36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Monthly_Summary!$H$24:$H$36</c:f>
              <c:numCache>
                <c:formatCode>"₹"\ #,##0.00</c:formatCode>
                <c:ptCount val="12"/>
                <c:pt idx="0">
                  <c:v>382711.11</c:v>
                </c:pt>
                <c:pt idx="1">
                  <c:v>391649.55000000005</c:v>
                </c:pt>
                <c:pt idx="2">
                  <c:v>336461.57</c:v>
                </c:pt>
                <c:pt idx="3">
                  <c:v>250107.73</c:v>
                </c:pt>
                <c:pt idx="4">
                  <c:v>293640.33</c:v>
                </c:pt>
                <c:pt idx="5">
                  <c:v>366731.88</c:v>
                </c:pt>
                <c:pt idx="6">
                  <c:v>106168.54</c:v>
                </c:pt>
                <c:pt idx="7">
                  <c:v>93175.64</c:v>
                </c:pt>
                <c:pt idx="8">
                  <c:v>141963</c:v>
                </c:pt>
                <c:pt idx="9">
                  <c:v>98595.17</c:v>
                </c:pt>
                <c:pt idx="10">
                  <c:v>212952.58</c:v>
                </c:pt>
                <c:pt idx="11">
                  <c:v>88890.14</c:v>
                </c:pt>
              </c:numCache>
            </c:numRef>
          </c:val>
          <c:extLst>
            <c:ext xmlns:c16="http://schemas.microsoft.com/office/drawing/2014/chart" uri="{C3380CC4-5D6E-409C-BE32-E72D297353CC}">
              <c16:uniqueId val="{00000000-6BE4-4C6D-A453-4EBBA7304824}"/>
            </c:ext>
          </c:extLst>
        </c:ser>
        <c:dLbls>
          <c:showLegendKey val="0"/>
          <c:showVal val="1"/>
          <c:showCatName val="0"/>
          <c:showSerName val="0"/>
          <c:showPercent val="0"/>
          <c:showBubbleSize val="0"/>
        </c:dLbls>
        <c:gapWidth val="219"/>
        <c:axId val="1521074800"/>
        <c:axId val="1521075280"/>
      </c:barChart>
      <c:lineChart>
        <c:grouping val="standard"/>
        <c:varyColors val="0"/>
        <c:ser>
          <c:idx val="1"/>
          <c:order val="1"/>
          <c:tx>
            <c:strRef>
              <c:f>Monthly_Summary!$I$23</c:f>
              <c:strCache>
                <c:ptCount val="1"/>
                <c:pt idx="0">
                  <c:v>Sum of Total_Orders</c:v>
                </c:pt>
              </c:strCache>
            </c:strRef>
          </c:tx>
          <c:spPr>
            <a:ln w="34925" cap="rnd">
              <a:solidFill>
                <a:schemeClr val="accent2"/>
              </a:solidFill>
              <a:round/>
            </a:ln>
            <a:effectLst>
              <a:outerShdw blurRad="53975" dist="41275" dir="14700000" algn="t" rotWithShape="0">
                <a:srgbClr val="000000">
                  <a:alpha val="60000"/>
                </a:srgbClr>
              </a:outerShdw>
            </a:effectLst>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9525">
                <a:solidFill>
                  <a:schemeClr val="accent2"/>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Monthly_Summary!$G$24:$G$36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Monthly_Summary!$I$24:$I$36</c:f>
              <c:numCache>
                <c:formatCode>General</c:formatCode>
                <c:ptCount val="12"/>
                <c:pt idx="0">
                  <c:v>100</c:v>
                </c:pt>
                <c:pt idx="1">
                  <c:v>64</c:v>
                </c:pt>
                <c:pt idx="2">
                  <c:v>85</c:v>
                </c:pt>
                <c:pt idx="3">
                  <c:v>77</c:v>
                </c:pt>
                <c:pt idx="4">
                  <c:v>88</c:v>
                </c:pt>
                <c:pt idx="5">
                  <c:v>103</c:v>
                </c:pt>
                <c:pt idx="6">
                  <c:v>23</c:v>
                </c:pt>
                <c:pt idx="7">
                  <c:v>32</c:v>
                </c:pt>
                <c:pt idx="8">
                  <c:v>29</c:v>
                </c:pt>
                <c:pt idx="9">
                  <c:v>55</c:v>
                </c:pt>
                <c:pt idx="10">
                  <c:v>36</c:v>
                </c:pt>
                <c:pt idx="11">
                  <c:v>35</c:v>
                </c:pt>
              </c:numCache>
            </c:numRef>
          </c:val>
          <c:smooth val="0"/>
          <c:extLst>
            <c:ext xmlns:c16="http://schemas.microsoft.com/office/drawing/2014/chart" uri="{C3380CC4-5D6E-409C-BE32-E72D297353CC}">
              <c16:uniqueId val="{00000001-6BE4-4C6D-A453-4EBBA7304824}"/>
            </c:ext>
          </c:extLst>
        </c:ser>
        <c:dLbls>
          <c:showLegendKey val="0"/>
          <c:showVal val="1"/>
          <c:showCatName val="0"/>
          <c:showSerName val="0"/>
          <c:showPercent val="0"/>
          <c:showBubbleSize val="0"/>
        </c:dLbls>
        <c:marker val="1"/>
        <c:smooth val="0"/>
        <c:axId val="1653579808"/>
        <c:axId val="1653583168"/>
      </c:lineChart>
      <c:catAx>
        <c:axId val="15210748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075280"/>
        <c:crosses val="autoZero"/>
        <c:auto val="1"/>
        <c:lblAlgn val="ctr"/>
        <c:lblOffset val="100"/>
        <c:noMultiLvlLbl val="0"/>
      </c:catAx>
      <c:valAx>
        <c:axId val="1521075280"/>
        <c:scaling>
          <c:orientation val="minMax"/>
        </c:scaling>
        <c:delete val="0"/>
        <c:axPos val="l"/>
        <c:numFmt formatCode="&quot;₹&quot;\ #,##0.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074800"/>
        <c:crosses val="autoZero"/>
        <c:crossBetween val="between"/>
      </c:valAx>
      <c:valAx>
        <c:axId val="165358316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579808"/>
        <c:crosses val="max"/>
        <c:crossBetween val="between"/>
      </c:valAx>
      <c:catAx>
        <c:axId val="1653579808"/>
        <c:scaling>
          <c:orientation val="minMax"/>
        </c:scaling>
        <c:delete val="1"/>
        <c:axPos val="b"/>
        <c:numFmt formatCode="General" sourceLinked="1"/>
        <c:majorTickMark val="none"/>
        <c:minorTickMark val="none"/>
        <c:tickLblPos val="nextTo"/>
        <c:crossAx val="1653583168"/>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[ECommerce_Major_Project_Dataset (2).xlsx]Sales_Data!PivotTable2</c:name>
    <c:fmtId val="3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0.11682803890020077"/>
              <c:y val="4.7483380816714148E-3"/>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0.11891306308230452"/>
              <c:y val="0"/>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0.12870954421836511"/>
              <c:y val="0"/>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0.37517810273715774"/>
              <c:y val="-8.7051859200136706E-17"/>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0.14979353846591956"/>
              <c:y val="4.7483380816714148E-3"/>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8.4647805100311835E-2"/>
              <c:y val="-8.7051859200136706E-17"/>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8.3543591861143879E-2"/>
              <c:y val="0"/>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Sales_Data!$AD$4</c:f>
              <c:strCache>
                <c:ptCount val="1"/>
                <c:pt idx="0">
                  <c:v>Total</c:v>
                </c:pt>
              </c:strCache>
            </c:strRef>
          </c:tx>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Pt>
            <c:idx val="0"/>
            <c:invertIfNegative val="0"/>
            <c:bubble3D val="0"/>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1B-CD42-452E-9088-C453DA726047}"/>
              </c:ext>
            </c:extLst>
          </c:dPt>
          <c:dPt>
            <c:idx val="1"/>
            <c:invertIfNegative val="0"/>
            <c:bubble3D val="0"/>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1A-CD42-452E-9088-C453DA726047}"/>
              </c:ext>
            </c:extLst>
          </c:dPt>
          <c:dPt>
            <c:idx val="2"/>
            <c:invertIfNegative val="0"/>
            <c:bubble3D val="0"/>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19-CD42-452E-9088-C453DA726047}"/>
              </c:ext>
            </c:extLst>
          </c:dPt>
          <c:dPt>
            <c:idx val="3"/>
            <c:invertIfNegative val="0"/>
            <c:bubble3D val="0"/>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18-CD42-452E-9088-C453DA726047}"/>
              </c:ext>
            </c:extLst>
          </c:dPt>
          <c:dPt>
            <c:idx val="5"/>
            <c:invertIfNegative val="0"/>
            <c:bubble3D val="0"/>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17-CD42-452E-9088-C453DA726047}"/>
              </c:ext>
            </c:extLst>
          </c:dPt>
          <c:dPt>
            <c:idx val="6"/>
            <c:invertIfNegative val="0"/>
            <c:bubble3D val="0"/>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16-CD42-452E-9088-C453DA726047}"/>
              </c:ext>
            </c:extLst>
          </c:dPt>
          <c:dPt>
            <c:idx val="7"/>
            <c:invertIfNegative val="0"/>
            <c:bubble3D val="0"/>
            <c:spPr>
              <a:solidFill>
                <a:schemeClr val="accent1"/>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15-CD42-452E-9088-C453DA726047}"/>
              </c:ext>
            </c:extLst>
          </c:dPt>
          <c:dLbls>
            <c:dLbl>
              <c:idx val="0"/>
              <c:layout>
                <c:manualLayout>
                  <c:x val="8.3543591861143879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CD42-452E-9088-C453DA726047}"/>
                </c:ext>
              </c:extLst>
            </c:dLbl>
            <c:dLbl>
              <c:idx val="1"/>
              <c:layout>
                <c:manualLayout>
                  <c:x val="8.4647805100311835E-2"/>
                  <c:y val="-8.705185920013670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CD42-452E-9088-C453DA726047}"/>
                </c:ext>
              </c:extLst>
            </c:dLbl>
            <c:dLbl>
              <c:idx val="2"/>
              <c:layout>
                <c:manualLayout>
                  <c:x val="0.14979353846591956"/>
                  <c:y val="4.748338081671414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CD42-452E-9088-C453DA726047}"/>
                </c:ext>
              </c:extLst>
            </c:dLbl>
            <c:dLbl>
              <c:idx val="3"/>
              <c:layout>
                <c:manualLayout>
                  <c:x val="0.37517810273715774"/>
                  <c:y val="-8.705185920013670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CD42-452E-9088-C453DA726047}"/>
                </c:ext>
              </c:extLst>
            </c:dLbl>
            <c:dLbl>
              <c:idx val="5"/>
              <c:layout>
                <c:manualLayout>
                  <c:x val="0.1287095442183651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D42-452E-9088-C453DA726047}"/>
                </c:ext>
              </c:extLst>
            </c:dLbl>
            <c:dLbl>
              <c:idx val="6"/>
              <c:layout>
                <c:manualLayout>
                  <c:x val="0.1189130630823045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D42-452E-9088-C453DA726047}"/>
                </c:ext>
              </c:extLst>
            </c:dLbl>
            <c:dLbl>
              <c:idx val="7"/>
              <c:layout>
                <c:manualLayout>
                  <c:x val="0.11682803890020077"/>
                  <c:y val="4.748338081671414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D42-452E-9088-C453DA726047}"/>
                </c:ext>
              </c:extLst>
            </c:dLbl>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Sales_Data!$AC$5:$AC$13</c:f>
              <c:strCache>
                <c:ptCount val="8"/>
                <c:pt idx="0">
                  <c:v>Beauty &amp; Personal</c:v>
                </c:pt>
                <c:pt idx="1">
                  <c:v>Books &amp; Stationery</c:v>
                </c:pt>
                <c:pt idx="2">
                  <c:v>Clothing</c:v>
                </c:pt>
                <c:pt idx="3">
                  <c:v>Electronics</c:v>
                </c:pt>
                <c:pt idx="4">
                  <c:v>Grocery</c:v>
                </c:pt>
                <c:pt idx="5">
                  <c:v>Home &amp; Kitchen</c:v>
                </c:pt>
                <c:pt idx="6">
                  <c:v>Sports &amp; Fitness</c:v>
                </c:pt>
                <c:pt idx="7">
                  <c:v>Toys &amp; Baby</c:v>
                </c:pt>
              </c:strCache>
            </c:strRef>
          </c:cat>
          <c:val>
            <c:numRef>
              <c:f>Sales_Data!$AD$5:$AD$13</c:f>
              <c:numCache>
                <c:formatCode>General</c:formatCode>
                <c:ptCount val="8"/>
                <c:pt idx="0">
                  <c:v>60894</c:v>
                </c:pt>
                <c:pt idx="1">
                  <c:v>61999.4</c:v>
                </c:pt>
                <c:pt idx="2">
                  <c:v>203988</c:v>
                </c:pt>
                <c:pt idx="3">
                  <c:v>2305480</c:v>
                </c:pt>
                <c:pt idx="4">
                  <c:v>33383.75</c:v>
                </c:pt>
                <c:pt idx="5">
                  <c:v>431084</c:v>
                </c:pt>
                <c:pt idx="6">
                  <c:v>164140</c:v>
                </c:pt>
                <c:pt idx="7">
                  <c:v>134420</c:v>
                </c:pt>
              </c:numCache>
            </c:numRef>
          </c:val>
          <c:extLst>
            <c:ext xmlns:c16="http://schemas.microsoft.com/office/drawing/2014/chart" uri="{C3380CC4-5D6E-409C-BE32-E72D297353CC}">
              <c16:uniqueId val="{00000000-CD42-452E-9088-C453DA726047}"/>
            </c:ext>
          </c:extLst>
        </c:ser>
        <c:dLbls>
          <c:dLblPos val="inEnd"/>
          <c:showLegendKey val="0"/>
          <c:showVal val="1"/>
          <c:showCatName val="0"/>
          <c:showSerName val="0"/>
          <c:showPercent val="0"/>
          <c:showBubbleSize val="0"/>
        </c:dLbls>
        <c:gapWidth val="88"/>
        <c:overlap val="100"/>
        <c:axId val="1521130960"/>
        <c:axId val="1521131440"/>
      </c:barChart>
      <c:catAx>
        <c:axId val="15211309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131440"/>
        <c:crosses val="autoZero"/>
        <c:auto val="1"/>
        <c:lblAlgn val="ctr"/>
        <c:lblOffset val="100"/>
        <c:noMultiLvlLbl val="0"/>
      </c:catAx>
      <c:valAx>
        <c:axId val="1521131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13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228600">
        <a:schemeClr val="tx1">
          <a:alpha val="40000"/>
        </a:schemeClr>
      </a:glow>
      <a:outerShdw blurRad="635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[ECommerce_Major_Project_Dataset (2).xlsx]Sales_Data!PivotTable4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Payment Mode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6666666666666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416666666666666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000000000000005"/>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66666666666666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3888888888888884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5"/>
              <c:y val="-4.16666666666666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5"/>
              <c:y val="-4.16666666666666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6666666666666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416666666666666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0000000000000005"/>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166666666666666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3888888888888884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25"/>
              <c:y val="-4.16666666666666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16666666666666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416666666666666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0000000000000005"/>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166666666666666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6.3888888888888884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85586176727909"/>
          <c:y val="0.14249781277340332"/>
          <c:w val="0.48178040244969389"/>
          <c:h val="0.80296733741615645"/>
        </c:manualLayout>
      </c:layout>
      <c:doughnutChart>
        <c:varyColors val="1"/>
        <c:ser>
          <c:idx val="0"/>
          <c:order val="0"/>
          <c:tx>
            <c:strRef>
              <c:f>Sales_Data!$AD$16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B4-48CF-9BD0-6F3E250A13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B4-48CF-9BD0-6F3E250A13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B4-48CF-9BD0-6F3E250A13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B4-48CF-9BD0-6F3E250A13B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B4-48CF-9BD0-6F3E250A13B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1B4-48CF-9BD0-6F3E250A13B0}"/>
              </c:ext>
            </c:extLst>
          </c:dPt>
          <c:dLbls>
            <c:dLbl>
              <c:idx val="0"/>
              <c:layout>
                <c:manualLayout>
                  <c:x val="0.125"/>
                  <c:y val="-4.166666666666668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1B4-48CF-9BD0-6F3E250A13B0}"/>
                </c:ext>
              </c:extLst>
            </c:dLbl>
            <c:dLbl>
              <c:idx val="1"/>
              <c:layout>
                <c:manualLayout>
                  <c:x val="0.11666666666666667"/>
                  <c:y val="-4.62962962962962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1B4-48CF-9BD0-6F3E250A13B0}"/>
                </c:ext>
              </c:extLst>
            </c:dLbl>
            <c:dLbl>
              <c:idx val="2"/>
              <c:layout>
                <c:manualLayout>
                  <c:x val="0.14166666666666666"/>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1B4-48CF-9BD0-6F3E250A13B0}"/>
                </c:ext>
              </c:extLst>
            </c:dLbl>
            <c:dLbl>
              <c:idx val="3"/>
              <c:layout>
                <c:manualLayout>
                  <c:x val="-0.10000000000000005"/>
                  <c:y val="7.4074074074074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1B4-48CF-9BD0-6F3E250A13B0}"/>
                </c:ext>
              </c:extLst>
            </c:dLbl>
            <c:dLbl>
              <c:idx val="4"/>
              <c:layout>
                <c:manualLayout>
                  <c:x val="-0.11666666666666667"/>
                  <c:y val="3.24074074074074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B4-48CF-9BD0-6F3E250A13B0}"/>
                </c:ext>
              </c:extLst>
            </c:dLbl>
            <c:dLbl>
              <c:idx val="5"/>
              <c:layout>
                <c:manualLayout>
                  <c:x val="-6.3888888888888884E-2"/>
                  <c:y val="-9.25925925925925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81B4-48CF-9BD0-6F3E250A13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Sales_Data!$AC$17:$AC$23</c:f>
              <c:strCache>
                <c:ptCount val="6"/>
                <c:pt idx="0">
                  <c:v>Cash on Delivery</c:v>
                </c:pt>
                <c:pt idx="1">
                  <c:v>Credit Card</c:v>
                </c:pt>
                <c:pt idx="2">
                  <c:v>Debit Card</c:v>
                </c:pt>
                <c:pt idx="3">
                  <c:v>Net Banking</c:v>
                </c:pt>
                <c:pt idx="4">
                  <c:v>UPI</c:v>
                </c:pt>
                <c:pt idx="5">
                  <c:v>Wallet</c:v>
                </c:pt>
              </c:strCache>
            </c:strRef>
          </c:cat>
          <c:val>
            <c:numRef>
              <c:f>Sales_Data!$AD$17:$AD$23</c:f>
              <c:numCache>
                <c:formatCode>General</c:formatCode>
                <c:ptCount val="6"/>
                <c:pt idx="0">
                  <c:v>70</c:v>
                </c:pt>
                <c:pt idx="1">
                  <c:v>97</c:v>
                </c:pt>
                <c:pt idx="2">
                  <c:v>90</c:v>
                </c:pt>
                <c:pt idx="3">
                  <c:v>57</c:v>
                </c:pt>
                <c:pt idx="4">
                  <c:v>136</c:v>
                </c:pt>
                <c:pt idx="5">
                  <c:v>50</c:v>
                </c:pt>
              </c:numCache>
            </c:numRef>
          </c:val>
          <c:extLst>
            <c:ext xmlns:c16="http://schemas.microsoft.com/office/drawing/2014/chart" uri="{C3380CC4-5D6E-409C-BE32-E72D297353CC}">
              <c16:uniqueId val="{0000000C-81B4-48CF-9BD0-6F3E250A13B0}"/>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1000" sy="101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[ECommerce_Major_Project_Dataset (2).xlsx]Customer_Master!PivotTable5</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Age</a:t>
            </a:r>
            <a:r>
              <a:rPr lang="en-IN" baseline="0"/>
              <a:t> Group Wise Revenue &amp; orders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0.3657407407407407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009E-2"/>
              <c:y val="-0.33333333333333331"/>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0.12962962962962971"/>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99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9.7222222222222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9.7222222222222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99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0.3657407407407407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009E-2"/>
              <c:y val="-0.33333333333333331"/>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0.12962962962962971"/>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0"/>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0"/>
              <c:y val="-9.7222222222222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dLbl>
          <c:idx val="0"/>
          <c:layout>
            <c:manualLayout>
              <c:x val="1.388888888888899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0.3657407407407407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009E-2"/>
              <c:y val="-0.33333333333333331"/>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0.12962962962962971"/>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outerShdw blurRad="165100" dist="76200" dir="5400000" sx="77000" sy="77000" algn="ctr" rotWithShape="0">
            <a:srgbClr val="000000">
              <a:alpha val="99000"/>
            </a:srgbClr>
          </a:outerShdw>
        </a:effectLst>
        <a:sp3d/>
      </c:spPr>
    </c:sideWall>
    <c:backWall>
      <c:thickness val="0"/>
      <c:spPr>
        <a:noFill/>
        <a:ln>
          <a:noFill/>
        </a:ln>
        <a:effectLst>
          <a:outerShdw blurRad="165100" dist="76200" dir="5400000" sx="77000" sy="77000" algn="ctr" rotWithShape="0">
            <a:srgbClr val="000000">
              <a:alpha val="99000"/>
            </a:srgbClr>
          </a:outerShdw>
        </a:effectLst>
        <a:sp3d/>
      </c:spPr>
    </c:backWall>
    <c:plotArea>
      <c:layout/>
      <c:bar3DChart>
        <c:barDir val="col"/>
        <c:grouping val="stacked"/>
        <c:varyColors val="0"/>
        <c:ser>
          <c:idx val="0"/>
          <c:order val="0"/>
          <c:tx>
            <c:strRef>
              <c:f>Customer_Master!$X$5</c:f>
              <c:strCache>
                <c:ptCount val="1"/>
                <c:pt idx="0">
                  <c:v>Sum of Total_Orders</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Pt>
            <c:idx val="0"/>
            <c:invertIfNegative val="0"/>
            <c:bubble3D val="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00-047B-449F-8EEE-B1E8C9E3FB75}"/>
              </c:ext>
            </c:extLst>
          </c:dPt>
          <c:dPt>
            <c:idx val="1"/>
            <c:invertIfNegative val="0"/>
            <c:bubble3D val="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01-047B-449F-8EEE-B1E8C9E3FB75}"/>
              </c:ext>
            </c:extLst>
          </c:dPt>
          <c:dPt>
            <c:idx val="2"/>
            <c:invertIfNegative val="0"/>
            <c:bubble3D val="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02-047B-449F-8EEE-B1E8C9E3FB75}"/>
              </c:ext>
            </c:extLst>
          </c:dPt>
          <c:dLbls>
            <c:dLbl>
              <c:idx val="0"/>
              <c:layout>
                <c:manualLayout>
                  <c:x val="0"/>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47B-449F-8EEE-B1E8C9E3FB75}"/>
                </c:ext>
              </c:extLst>
            </c:dLbl>
            <c:dLbl>
              <c:idx val="1"/>
              <c:layout>
                <c:manualLayout>
                  <c:x val="0"/>
                  <c:y val="-9.7222222222222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7B-449F-8EEE-B1E8C9E3FB75}"/>
                </c:ext>
              </c:extLst>
            </c:dLbl>
            <c:dLbl>
              <c:idx val="2"/>
              <c:layout>
                <c:manualLayout>
                  <c:x val="1.388888888888899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7B-449F-8EEE-B1E8C9E3FB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Customer_Master!$W$6:$W$9</c:f>
              <c:strCache>
                <c:ptCount val="3"/>
                <c:pt idx="0">
                  <c:v>Adult</c:v>
                </c:pt>
                <c:pt idx="1">
                  <c:v>Senoir</c:v>
                </c:pt>
                <c:pt idx="2">
                  <c:v>Young</c:v>
                </c:pt>
              </c:strCache>
            </c:strRef>
          </c:cat>
          <c:val>
            <c:numRef>
              <c:f>Customer_Master!$X$6:$X$9</c:f>
              <c:numCache>
                <c:formatCode>General</c:formatCode>
                <c:ptCount val="3"/>
                <c:pt idx="0">
                  <c:v>200</c:v>
                </c:pt>
                <c:pt idx="1">
                  <c:v>229</c:v>
                </c:pt>
                <c:pt idx="2">
                  <c:v>71</c:v>
                </c:pt>
              </c:numCache>
            </c:numRef>
          </c:val>
          <c:extLst>
            <c:ext xmlns:c16="http://schemas.microsoft.com/office/drawing/2014/chart" uri="{C3380CC4-5D6E-409C-BE32-E72D297353CC}">
              <c16:uniqueId val="{00000003-047B-449F-8EEE-B1E8C9E3FB75}"/>
            </c:ext>
          </c:extLst>
        </c:ser>
        <c:ser>
          <c:idx val="1"/>
          <c:order val="1"/>
          <c:tx>
            <c:strRef>
              <c:f>Customer_Master!$Y$5</c:f>
              <c:strCache>
                <c:ptCount val="1"/>
                <c:pt idx="0">
                  <c:v>Sum of Total_Spent</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Pt>
            <c:idx val="0"/>
            <c:invertIfNegative val="0"/>
            <c:bubble3D val="0"/>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47B-449F-8EEE-B1E8C9E3FB75}"/>
              </c:ext>
            </c:extLst>
          </c:dPt>
          <c:dPt>
            <c:idx val="1"/>
            <c:invertIfNegative val="0"/>
            <c:bubble3D val="0"/>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47B-449F-8EEE-B1E8C9E3FB75}"/>
              </c:ext>
            </c:extLst>
          </c:dPt>
          <c:dPt>
            <c:idx val="2"/>
            <c:invertIfNegative val="0"/>
            <c:bubble3D val="0"/>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47B-449F-8EEE-B1E8C9E3FB75}"/>
              </c:ext>
            </c:extLst>
          </c:dPt>
          <c:dLbls>
            <c:dLbl>
              <c:idx val="0"/>
              <c:layout>
                <c:manualLayout>
                  <c:x val="1.9444444444444445E-2"/>
                  <c:y val="-0.36574074074074076"/>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7B-449F-8EEE-B1E8C9E3FB75}"/>
                </c:ext>
              </c:extLst>
            </c:dLbl>
            <c:dLbl>
              <c:idx val="1"/>
              <c:layout>
                <c:manualLayout>
                  <c:x val="1.1111111111111009E-2"/>
                  <c:y val="-0.33333333333333331"/>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47B-449F-8EEE-B1E8C9E3FB75}"/>
                </c:ext>
              </c:extLst>
            </c:dLbl>
            <c:dLbl>
              <c:idx val="2"/>
              <c:layout>
                <c:manualLayout>
                  <c:x val="1.6666666666666666E-2"/>
                  <c:y val="-0.12962962962962971"/>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47B-449F-8EEE-B1E8C9E3FB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Customer_Master!$W$6:$W$9</c:f>
              <c:strCache>
                <c:ptCount val="3"/>
                <c:pt idx="0">
                  <c:v>Adult</c:v>
                </c:pt>
                <c:pt idx="1">
                  <c:v>Senoir</c:v>
                </c:pt>
                <c:pt idx="2">
                  <c:v>Young</c:v>
                </c:pt>
              </c:strCache>
            </c:strRef>
          </c:cat>
          <c:val>
            <c:numRef>
              <c:f>Customer_Master!$Y$6:$Y$9</c:f>
              <c:numCache>
                <c:formatCode>General</c:formatCode>
                <c:ptCount val="3"/>
                <c:pt idx="0">
                  <c:v>1782884.0999999999</c:v>
                </c:pt>
                <c:pt idx="1">
                  <c:v>1384488.85</c:v>
                </c:pt>
                <c:pt idx="2">
                  <c:v>228016.2</c:v>
                </c:pt>
              </c:numCache>
            </c:numRef>
          </c:val>
          <c:extLst>
            <c:ext xmlns:c16="http://schemas.microsoft.com/office/drawing/2014/chart" uri="{C3380CC4-5D6E-409C-BE32-E72D297353CC}">
              <c16:uniqueId val="{0000000A-047B-449F-8EEE-B1E8C9E3FB75}"/>
            </c:ext>
          </c:extLst>
        </c:ser>
        <c:dLbls>
          <c:showLegendKey val="0"/>
          <c:showVal val="1"/>
          <c:showCatName val="0"/>
          <c:showSerName val="0"/>
          <c:showPercent val="0"/>
          <c:showBubbleSize val="0"/>
        </c:dLbls>
        <c:gapWidth val="150"/>
        <c:shape val="box"/>
        <c:axId val="453194703"/>
        <c:axId val="453193743"/>
        <c:axId val="0"/>
      </c:bar3DChart>
      <c:catAx>
        <c:axId val="4531947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193743"/>
        <c:crosses val="autoZero"/>
        <c:auto val="1"/>
        <c:lblAlgn val="ctr"/>
        <c:lblOffset val="100"/>
        <c:noMultiLvlLbl val="0"/>
      </c:catAx>
      <c:valAx>
        <c:axId val="453193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194703"/>
        <c:crosses val="autoZero"/>
        <c:crossBetween val="between"/>
      </c:valAx>
      <c:spPr>
        <a:noFill/>
        <a:ln>
          <a:noFill/>
        </a:ln>
        <a:effectLst>
          <a:outerShdw blurRad="50800" dist="50800" dir="5400000" sx="66000" sy="66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1000" sy="101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[ECommerce_Major_Project_Dataset (2).xlsx]Monthly_Summary!PivotTable1</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Montly</a:t>
            </a:r>
            <a:r>
              <a:rPr lang="en-IN" baseline="0"/>
              <a:t> Revenue VS Orders Trend</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3975" dist="41275" dir="14700000" algn="t" rotWithShape="0">
              <a:srgbClr val="000000">
                <a:alpha val="60000"/>
              </a:srgbClr>
            </a:outerShdw>
          </a:effectLst>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9525">
              <a:solidFill>
                <a:schemeClr val="accent2"/>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Monthly_Summary!$H$23</c:f>
              <c:strCache>
                <c:ptCount val="1"/>
                <c:pt idx="0">
                  <c:v>Sum of Total_Revenue</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Monthly_Summary!$G$24:$G$36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Monthly_Summary!$H$24:$H$36</c:f>
              <c:numCache>
                <c:formatCode>"₹"\ #,##0.00</c:formatCode>
                <c:ptCount val="12"/>
                <c:pt idx="0">
                  <c:v>382711.11</c:v>
                </c:pt>
                <c:pt idx="1">
                  <c:v>391649.55000000005</c:v>
                </c:pt>
                <c:pt idx="2">
                  <c:v>336461.57</c:v>
                </c:pt>
                <c:pt idx="3">
                  <c:v>250107.73</c:v>
                </c:pt>
                <c:pt idx="4">
                  <c:v>293640.33</c:v>
                </c:pt>
                <c:pt idx="5">
                  <c:v>366731.88</c:v>
                </c:pt>
                <c:pt idx="6">
                  <c:v>106168.54</c:v>
                </c:pt>
                <c:pt idx="7">
                  <c:v>93175.64</c:v>
                </c:pt>
                <c:pt idx="8">
                  <c:v>141963</c:v>
                </c:pt>
                <c:pt idx="9">
                  <c:v>98595.17</c:v>
                </c:pt>
                <c:pt idx="10">
                  <c:v>212952.58</c:v>
                </c:pt>
                <c:pt idx="11">
                  <c:v>88890.14</c:v>
                </c:pt>
              </c:numCache>
            </c:numRef>
          </c:val>
          <c:extLst>
            <c:ext xmlns:c16="http://schemas.microsoft.com/office/drawing/2014/chart" uri="{C3380CC4-5D6E-409C-BE32-E72D297353CC}">
              <c16:uniqueId val="{00000000-7136-4C91-9D8A-37F9993F1E8F}"/>
            </c:ext>
          </c:extLst>
        </c:ser>
        <c:dLbls>
          <c:showLegendKey val="0"/>
          <c:showVal val="1"/>
          <c:showCatName val="0"/>
          <c:showSerName val="0"/>
          <c:showPercent val="0"/>
          <c:showBubbleSize val="0"/>
        </c:dLbls>
        <c:gapWidth val="219"/>
        <c:axId val="1521074800"/>
        <c:axId val="1521075280"/>
      </c:barChart>
      <c:lineChart>
        <c:grouping val="standard"/>
        <c:varyColors val="0"/>
        <c:ser>
          <c:idx val="1"/>
          <c:order val="1"/>
          <c:tx>
            <c:strRef>
              <c:f>Monthly_Summary!$I$23</c:f>
              <c:strCache>
                <c:ptCount val="1"/>
                <c:pt idx="0">
                  <c:v>Sum of Total_Orders</c:v>
                </c:pt>
              </c:strCache>
            </c:strRef>
          </c:tx>
          <c:spPr>
            <a:ln w="34925" cap="rnd">
              <a:solidFill>
                <a:schemeClr val="accent2"/>
              </a:solidFill>
              <a:round/>
            </a:ln>
            <a:effectLst>
              <a:outerShdw blurRad="53975" dist="41275" dir="14700000" algn="t" rotWithShape="0">
                <a:srgbClr val="000000">
                  <a:alpha val="60000"/>
                </a:srgbClr>
              </a:outerShdw>
            </a:effectLst>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9525">
                <a:solidFill>
                  <a:schemeClr val="accent2"/>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Monthly_Summary!$G$24:$G$36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Monthly_Summary!$I$24:$I$36</c:f>
              <c:numCache>
                <c:formatCode>General</c:formatCode>
                <c:ptCount val="12"/>
                <c:pt idx="0">
                  <c:v>100</c:v>
                </c:pt>
                <c:pt idx="1">
                  <c:v>64</c:v>
                </c:pt>
                <c:pt idx="2">
                  <c:v>85</c:v>
                </c:pt>
                <c:pt idx="3">
                  <c:v>77</c:v>
                </c:pt>
                <c:pt idx="4">
                  <c:v>88</c:v>
                </c:pt>
                <c:pt idx="5">
                  <c:v>103</c:v>
                </c:pt>
                <c:pt idx="6">
                  <c:v>23</c:v>
                </c:pt>
                <c:pt idx="7">
                  <c:v>32</c:v>
                </c:pt>
                <c:pt idx="8">
                  <c:v>29</c:v>
                </c:pt>
                <c:pt idx="9">
                  <c:v>55</c:v>
                </c:pt>
                <c:pt idx="10">
                  <c:v>36</c:v>
                </c:pt>
                <c:pt idx="11">
                  <c:v>35</c:v>
                </c:pt>
              </c:numCache>
            </c:numRef>
          </c:val>
          <c:smooth val="0"/>
          <c:extLst>
            <c:ext xmlns:c16="http://schemas.microsoft.com/office/drawing/2014/chart" uri="{C3380CC4-5D6E-409C-BE32-E72D297353CC}">
              <c16:uniqueId val="{00000001-7136-4C91-9D8A-37F9993F1E8F}"/>
            </c:ext>
          </c:extLst>
        </c:ser>
        <c:dLbls>
          <c:showLegendKey val="0"/>
          <c:showVal val="1"/>
          <c:showCatName val="0"/>
          <c:showSerName val="0"/>
          <c:showPercent val="0"/>
          <c:showBubbleSize val="0"/>
        </c:dLbls>
        <c:marker val="1"/>
        <c:smooth val="0"/>
        <c:axId val="1653579808"/>
        <c:axId val="1653583168"/>
      </c:lineChart>
      <c:catAx>
        <c:axId val="15210748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075280"/>
        <c:crosses val="autoZero"/>
        <c:auto val="1"/>
        <c:lblAlgn val="ctr"/>
        <c:lblOffset val="100"/>
        <c:noMultiLvlLbl val="0"/>
      </c:catAx>
      <c:valAx>
        <c:axId val="1521075280"/>
        <c:scaling>
          <c:orientation val="minMax"/>
        </c:scaling>
        <c:delete val="0"/>
        <c:axPos val="l"/>
        <c:numFmt formatCode="&quot;₹&quot;\ #,##0.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074800"/>
        <c:crosses val="autoZero"/>
        <c:crossBetween val="between"/>
      </c:valAx>
      <c:valAx>
        <c:axId val="165358316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579808"/>
        <c:crosses val="max"/>
        <c:crossBetween val="between"/>
      </c:valAx>
      <c:catAx>
        <c:axId val="1653579808"/>
        <c:scaling>
          <c:orientation val="minMax"/>
        </c:scaling>
        <c:delete val="1"/>
        <c:axPos val="b"/>
        <c:numFmt formatCode="General" sourceLinked="1"/>
        <c:majorTickMark val="none"/>
        <c:minorTickMark val="none"/>
        <c:tickLblPos val="nextTo"/>
        <c:crossAx val="1653583168"/>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1000" sy="101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[ECommerce_Major_Project_Dataset (2).xlsx]Product_Master!PivotTable1</c:name>
    <c:fmtId val="8"/>
  </c:pivotSource>
  <c:chart>
    <c:title>
      <c:tx>
        <c:rich>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r>
              <a:rPr lang="en-US" sz="1600"/>
              <a:t>Top</a:t>
            </a:r>
            <a:r>
              <a:rPr lang="en-US" sz="1600" baseline="0"/>
              <a:t> 5 Category</a:t>
            </a:r>
            <a:endParaRPr lang="en-US"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glow>
              <a:schemeClr val="accent1">
                <a:alpha val="40000"/>
              </a:schemeClr>
            </a:glow>
            <a:outerShdw blurRad="317500" sx="70000" sy="70000" algn="ctr" rotWithShape="0">
              <a:prstClr val="black">
                <a:alpha val="96000"/>
              </a:prstClr>
            </a:outerShdw>
          </a:effectLst>
        </c:spPr>
        <c:marker>
          <c:symbol val="none"/>
        </c:marker>
        <c:dLbl>
          <c:idx val="0"/>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a:noFill/>
          </a:ln>
          <a:effectLst>
            <a:glow>
              <a:schemeClr val="accent1">
                <a:alpha val="40000"/>
              </a:schemeClr>
            </a:glow>
            <a:outerShdw blurRad="317500" sx="70000" sy="70000" algn="ctr" rotWithShape="0">
              <a:prstClr val="black">
                <a:alpha val="96000"/>
              </a:prstClr>
            </a:outerShdw>
          </a:effectLst>
        </c:spPr>
      </c:pivotFmt>
      <c:pivotFmt>
        <c:idx val="9"/>
        <c:spPr>
          <a:solidFill>
            <a:schemeClr val="accent1"/>
          </a:solidFill>
          <a:ln>
            <a:noFill/>
          </a:ln>
          <a:effectLst>
            <a:glow>
              <a:schemeClr val="accent1">
                <a:alpha val="40000"/>
              </a:schemeClr>
            </a:glow>
            <a:outerShdw blurRad="317500" sx="70000" sy="70000" algn="ctr" rotWithShape="0">
              <a:prstClr val="black">
                <a:alpha val="96000"/>
              </a:prstClr>
            </a:outerShdw>
          </a:effectLst>
        </c:spPr>
      </c:pivotFmt>
      <c:pivotFmt>
        <c:idx val="10"/>
        <c:spPr>
          <a:solidFill>
            <a:schemeClr val="accent1"/>
          </a:solidFill>
          <a:ln>
            <a:noFill/>
          </a:ln>
          <a:effectLst>
            <a:glow>
              <a:schemeClr val="accent1">
                <a:alpha val="40000"/>
              </a:schemeClr>
            </a:glow>
            <a:outerShdw blurRad="317500" sx="70000" sy="70000" algn="ctr" rotWithShape="0">
              <a:prstClr val="black">
                <a:alpha val="96000"/>
              </a:prstClr>
            </a:outerShdw>
          </a:effectLst>
        </c:spPr>
      </c:pivotFmt>
      <c:pivotFmt>
        <c:idx val="11"/>
        <c:spPr>
          <a:solidFill>
            <a:schemeClr val="accent1"/>
          </a:solidFill>
          <a:ln>
            <a:noFill/>
          </a:ln>
          <a:effectLst>
            <a:glow>
              <a:schemeClr val="accent1">
                <a:alpha val="40000"/>
              </a:schemeClr>
            </a:glow>
            <a:outerShdw blurRad="317500" sx="70000" sy="70000" algn="ctr" rotWithShape="0">
              <a:prstClr val="black">
                <a:alpha val="96000"/>
              </a:prstClr>
            </a:outerShdw>
          </a:effectLst>
        </c:spPr>
      </c:pivotFmt>
      <c:pivotFmt>
        <c:idx val="12"/>
        <c:spPr>
          <a:solidFill>
            <a:schemeClr val="accent1"/>
          </a:solidFill>
          <a:ln>
            <a:noFill/>
          </a:ln>
          <a:effectLst>
            <a:glow>
              <a:schemeClr val="accent1">
                <a:alpha val="40000"/>
              </a:schemeClr>
            </a:glow>
            <a:outerShdw blurRad="317500" sx="70000" sy="70000" algn="ctr" rotWithShape="0">
              <a:prstClr val="black">
                <a:alpha val="96000"/>
              </a:prstClr>
            </a:outerShdw>
          </a:effectLst>
        </c:spPr>
      </c:pivotFmt>
    </c:pivotFmts>
    <c:plotArea>
      <c:layout/>
      <c:pieChart>
        <c:varyColors val="1"/>
        <c:ser>
          <c:idx val="0"/>
          <c:order val="0"/>
          <c:tx>
            <c:strRef>
              <c:f>Product_Master!$S$8</c:f>
              <c:strCache>
                <c:ptCount val="1"/>
                <c:pt idx="0">
                  <c:v>Total</c:v>
                </c:pt>
              </c:strCache>
            </c:strRef>
          </c:tx>
          <c:spPr>
            <a:effectLst>
              <a:glow>
                <a:schemeClr val="accent1">
                  <a:alpha val="40000"/>
                </a:schemeClr>
              </a:glow>
              <a:outerShdw blurRad="317500" sx="70000" sy="70000" algn="ctr" rotWithShape="0">
                <a:prstClr val="black">
                  <a:alpha val="96000"/>
                </a:prstClr>
              </a:outerShdw>
            </a:effectLst>
          </c:spPr>
          <c:dPt>
            <c:idx val="0"/>
            <c:bubble3D val="0"/>
            <c:spPr>
              <a:solidFill>
                <a:schemeClr val="accent1"/>
              </a:solidFill>
              <a:ln>
                <a:noFill/>
              </a:ln>
              <a:effectLst>
                <a:glow>
                  <a:schemeClr val="accent1">
                    <a:alpha val="40000"/>
                  </a:schemeClr>
                </a:glow>
                <a:outerShdw blurRad="317500" sx="70000" sy="70000" algn="ctr" rotWithShape="0">
                  <a:prstClr val="black">
                    <a:alpha val="96000"/>
                  </a:prstClr>
                </a:outerShdw>
              </a:effectLst>
            </c:spPr>
            <c:extLst>
              <c:ext xmlns:c16="http://schemas.microsoft.com/office/drawing/2014/chart" uri="{C3380CC4-5D6E-409C-BE32-E72D297353CC}">
                <c16:uniqueId val="{00000001-B0F7-4C07-A091-E8E71E26235B}"/>
              </c:ext>
            </c:extLst>
          </c:dPt>
          <c:dPt>
            <c:idx val="1"/>
            <c:bubble3D val="0"/>
            <c:spPr>
              <a:solidFill>
                <a:schemeClr val="accent2"/>
              </a:solidFill>
              <a:ln>
                <a:noFill/>
              </a:ln>
              <a:effectLst>
                <a:glow>
                  <a:schemeClr val="accent1">
                    <a:alpha val="40000"/>
                  </a:schemeClr>
                </a:glow>
                <a:outerShdw blurRad="317500" sx="70000" sy="70000" algn="ctr" rotWithShape="0">
                  <a:prstClr val="black">
                    <a:alpha val="96000"/>
                  </a:prstClr>
                </a:outerShdw>
              </a:effectLst>
            </c:spPr>
            <c:extLst>
              <c:ext xmlns:c16="http://schemas.microsoft.com/office/drawing/2014/chart" uri="{C3380CC4-5D6E-409C-BE32-E72D297353CC}">
                <c16:uniqueId val="{00000003-B0F7-4C07-A091-E8E71E26235B}"/>
              </c:ext>
            </c:extLst>
          </c:dPt>
          <c:dPt>
            <c:idx val="2"/>
            <c:bubble3D val="0"/>
            <c:spPr>
              <a:solidFill>
                <a:schemeClr val="accent3"/>
              </a:solidFill>
              <a:ln>
                <a:noFill/>
              </a:ln>
              <a:effectLst>
                <a:glow>
                  <a:schemeClr val="accent1">
                    <a:alpha val="40000"/>
                  </a:schemeClr>
                </a:glow>
                <a:outerShdw blurRad="317500" sx="70000" sy="70000" algn="ctr" rotWithShape="0">
                  <a:prstClr val="black">
                    <a:alpha val="96000"/>
                  </a:prstClr>
                </a:outerShdw>
              </a:effectLst>
            </c:spPr>
            <c:extLst>
              <c:ext xmlns:c16="http://schemas.microsoft.com/office/drawing/2014/chart" uri="{C3380CC4-5D6E-409C-BE32-E72D297353CC}">
                <c16:uniqueId val="{00000005-B0F7-4C07-A091-E8E71E26235B}"/>
              </c:ext>
            </c:extLst>
          </c:dPt>
          <c:dPt>
            <c:idx val="3"/>
            <c:bubble3D val="0"/>
            <c:spPr>
              <a:solidFill>
                <a:schemeClr val="accent4"/>
              </a:solidFill>
              <a:ln>
                <a:noFill/>
              </a:ln>
              <a:effectLst>
                <a:glow>
                  <a:schemeClr val="accent1">
                    <a:alpha val="40000"/>
                  </a:schemeClr>
                </a:glow>
                <a:outerShdw blurRad="317500" sx="70000" sy="70000" algn="ctr" rotWithShape="0">
                  <a:prstClr val="black">
                    <a:alpha val="96000"/>
                  </a:prstClr>
                </a:outerShdw>
              </a:effectLst>
            </c:spPr>
            <c:extLst>
              <c:ext xmlns:c16="http://schemas.microsoft.com/office/drawing/2014/chart" uri="{C3380CC4-5D6E-409C-BE32-E72D297353CC}">
                <c16:uniqueId val="{00000007-B0F7-4C07-A091-E8E71E26235B}"/>
              </c:ext>
            </c:extLst>
          </c:dPt>
          <c:dPt>
            <c:idx val="4"/>
            <c:bubble3D val="0"/>
            <c:spPr>
              <a:solidFill>
                <a:schemeClr val="accent5"/>
              </a:solidFill>
              <a:ln>
                <a:noFill/>
              </a:ln>
              <a:effectLst>
                <a:glow>
                  <a:schemeClr val="accent1">
                    <a:alpha val="40000"/>
                  </a:schemeClr>
                </a:glow>
                <a:outerShdw blurRad="317500" sx="70000" sy="70000" algn="ctr" rotWithShape="0">
                  <a:prstClr val="black">
                    <a:alpha val="96000"/>
                  </a:prstClr>
                </a:outerShdw>
              </a:effectLst>
            </c:spPr>
            <c:extLst>
              <c:ext xmlns:c16="http://schemas.microsoft.com/office/drawing/2014/chart" uri="{C3380CC4-5D6E-409C-BE32-E72D297353CC}">
                <c16:uniqueId val="{00000009-B0F7-4C07-A091-E8E71E26235B}"/>
              </c:ext>
            </c:extLst>
          </c:dPt>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Product_Master!$R$9:$R$14</c:f>
              <c:strCache>
                <c:ptCount val="5"/>
                <c:pt idx="0">
                  <c:v>Beauty &amp; Personal</c:v>
                </c:pt>
                <c:pt idx="1">
                  <c:v>Books &amp; Stationery</c:v>
                </c:pt>
                <c:pt idx="2">
                  <c:v>Electronics</c:v>
                </c:pt>
                <c:pt idx="3">
                  <c:v>Grocery</c:v>
                </c:pt>
                <c:pt idx="4">
                  <c:v>Sports &amp; Fitness</c:v>
                </c:pt>
              </c:strCache>
            </c:strRef>
          </c:cat>
          <c:val>
            <c:numRef>
              <c:f>Product_Master!$S$9:$S$14</c:f>
              <c:numCache>
                <c:formatCode>General</c:formatCode>
                <c:ptCount val="5"/>
                <c:pt idx="0">
                  <c:v>38.5</c:v>
                </c:pt>
                <c:pt idx="1">
                  <c:v>40.690000000000005</c:v>
                </c:pt>
                <c:pt idx="2">
                  <c:v>38.750000000000007</c:v>
                </c:pt>
                <c:pt idx="3">
                  <c:v>38.52000000000001</c:v>
                </c:pt>
                <c:pt idx="4">
                  <c:v>39.720000000000006</c:v>
                </c:pt>
              </c:numCache>
            </c:numRef>
          </c:val>
          <c:extLst>
            <c:ext xmlns:c16="http://schemas.microsoft.com/office/drawing/2014/chart" uri="{C3380CC4-5D6E-409C-BE32-E72D297353CC}">
              <c16:uniqueId val="{0000000A-B0F7-4C07-A091-E8E71E26235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_xlchart.v2.1</cx:f>
      </cx:strDim>
      <cx:numDim type="val">
        <cx:f>_xlchart.v2.2</cx:f>
      </cx:numDim>
    </cx:data>
    <cx:data id="1">
      <cx:strDim type="cat">
        <cx:f>_xlchart.v2.1</cx:f>
      </cx:strDim>
      <cx:numDim type="val">
        <cx:f>_xlchart.v2.0</cx:f>
      </cx:numDim>
    </cx:data>
  </cx:chartData>
  <cx:chart>
    <cx:title pos="t" align="ctr" overlay="0">
      <cx:tx>
        <cx:txData>
          <cx:v>Customer Behaviour</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a:rPr>
            <a:t>Customer Behaviour</a:t>
          </a:r>
        </a:p>
      </cx:txPr>
    </cx:title>
    <cx:plotArea>
      <cx:plotAreaRegion>
        <cx:series layoutId="funnel" uniqueId="{84590F71-63A9-4F78-B8E3-D00B12DE1625}" formatIdx="0">
          <cx:dataLabels>
            <cx:visibility seriesName="0" categoryName="0" value="1"/>
          </cx:dataLabels>
          <cx:dataId val="0"/>
        </cx:series>
        <cx:series layoutId="funnel" hidden="1" uniqueId="{9FDC4AB6-502A-4B69-B533-BEA0975FC49E}" formatIdx="1">
          <cx:dataLabels>
            <cx:visibility seriesName="0" categoryName="0" value="1"/>
          </cx:dataLabels>
          <cx:dataId val="1"/>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data id="1">
      <cx:strDim type="cat">
        <cx:f>_xlchart.v2.4</cx:f>
      </cx:strDim>
      <cx:numDim type="val">
        <cx:f>_xlchart.v2.3</cx:f>
      </cx:numDim>
    </cx:data>
  </cx:chartData>
  <cx:chart>
    <cx:title pos="t" align="ctr" overlay="0">
      <cx:tx>
        <cx:txData>
          <cx:v>Customer Behaviour</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a:rPr>
            <a:t>Customer Behaviour</a:t>
          </a:r>
        </a:p>
      </cx:txPr>
    </cx:title>
    <cx:plotArea>
      <cx:plotAreaRegion>
        <cx:plotSurface>
          <cx:spPr>
            <a:noFill/>
            <a:ln>
              <a:noFill/>
            </a:ln>
            <a:effectLst>
              <a:outerShdw blurRad="50800" dist="38100" algn="l" rotWithShape="0">
                <a:prstClr val="black">
                  <a:alpha val="40000"/>
                </a:prstClr>
              </a:outerShdw>
            </a:effectLst>
          </cx:spPr>
        </cx:plotSurface>
        <cx:series layoutId="funnel" uniqueId="{84590F71-63A9-4F78-B8E3-D00B12DE1625}" formatIdx="0">
          <cx:dataLabels>
            <cx:visibility seriesName="0" categoryName="0" value="1"/>
          </cx:dataLabels>
          <cx:dataId val="0"/>
        </cx:series>
        <cx:series layoutId="funnel" hidden="1" uniqueId="{9FDC4AB6-502A-4B69-B533-BEA0975FC49E}" formatIdx="1">
          <cx:dataLabels>
            <cx:visibility seriesName="0" categoryName="0" value="1"/>
          </cx:dataLabels>
          <cx:dataId val="1"/>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a:endParaRPr>
          </a:p>
        </cx:txPr>
      </cx:axis>
    </cx:plotArea>
  </cx:chart>
  <cx:spPr>
    <a:noFill/>
    <a:effectLst>
      <a:outerShdw blurRad="63500" sx="102000" sy="102000" algn="ctr" rotWithShape="0">
        <a:prstClr val="black">
          <a:alpha val="99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8" Type="http://schemas.openxmlformats.org/officeDocument/2006/relationships/image" Target="../media/image2.svg"/><Relationship Id="rId3" Type="http://schemas.microsoft.com/office/2014/relationships/chartEx" Target="../charts/chartEx2.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11" Type="http://schemas.openxmlformats.org/officeDocument/2006/relationships/image" Target="../media/image5.png"/><Relationship Id="rId5" Type="http://schemas.openxmlformats.org/officeDocument/2006/relationships/chart" Target="../charts/chart10.xml"/><Relationship Id="rId10" Type="http://schemas.openxmlformats.org/officeDocument/2006/relationships/image" Target="../media/image4.svg"/><Relationship Id="rId4" Type="http://schemas.openxmlformats.org/officeDocument/2006/relationships/chart" Target="../charts/chart9.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32</xdr:col>
      <xdr:colOff>243562</xdr:colOff>
      <xdr:row>16</xdr:row>
      <xdr:rowOff>39831</xdr:rowOff>
    </xdr:from>
    <xdr:to>
      <xdr:col>41</xdr:col>
      <xdr:colOff>646813</xdr:colOff>
      <xdr:row>31</xdr:row>
      <xdr:rowOff>168347</xdr:rowOff>
    </xdr:to>
    <xdr:graphicFrame macro="">
      <xdr:nvGraphicFramePr>
        <xdr:cNvPr id="5" name="Chart 4">
          <a:extLst>
            <a:ext uri="{FF2B5EF4-FFF2-40B4-BE49-F238E27FC236}">
              <a16:creationId xmlns:a16="http://schemas.microsoft.com/office/drawing/2014/main" id="{EEA7B6A9-C998-D8B8-E71E-8D1985F28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4430</xdr:colOff>
      <xdr:row>0</xdr:row>
      <xdr:rowOff>0</xdr:rowOff>
    </xdr:from>
    <xdr:to>
      <xdr:col>38</xdr:col>
      <xdr:colOff>225942</xdr:colOff>
      <xdr:row>14</xdr:row>
      <xdr:rowOff>23037</xdr:rowOff>
    </xdr:to>
    <xdr:graphicFrame macro="">
      <xdr:nvGraphicFramePr>
        <xdr:cNvPr id="6" name="Chart 5">
          <a:extLst>
            <a:ext uri="{FF2B5EF4-FFF2-40B4-BE49-F238E27FC236}">
              <a16:creationId xmlns:a16="http://schemas.microsoft.com/office/drawing/2014/main" id="{D8643B0E-910E-ABA9-0CEA-FB76882B4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190502</xdr:colOff>
      <xdr:row>34</xdr:row>
      <xdr:rowOff>10634</xdr:rowOff>
    </xdr:from>
    <xdr:to>
      <xdr:col>38</xdr:col>
      <xdr:colOff>412013</xdr:colOff>
      <xdr:row>48</xdr:row>
      <xdr:rowOff>148857</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701D3442-86C6-0541-6B70-B1D310F944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3101282" y="6350474"/>
              <a:ext cx="4572531" cy="26985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243663</xdr:colOff>
      <xdr:row>39</xdr:row>
      <xdr:rowOff>1772</xdr:rowOff>
    </xdr:from>
    <xdr:to>
      <xdr:col>31</xdr:col>
      <xdr:colOff>296826</xdr:colOff>
      <xdr:row>53</xdr:row>
      <xdr:rowOff>139995</xdr:rowOff>
    </xdr:to>
    <xdr:graphicFrame macro="">
      <xdr:nvGraphicFramePr>
        <xdr:cNvPr id="4" name="Chart 3">
          <a:extLst>
            <a:ext uri="{FF2B5EF4-FFF2-40B4-BE49-F238E27FC236}">
              <a16:creationId xmlns:a16="http://schemas.microsoft.com/office/drawing/2014/main" id="{242E2DA6-DEE2-3D13-5630-AFC7EC107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114655</xdr:colOff>
      <xdr:row>23</xdr:row>
      <xdr:rowOff>60605</xdr:rowOff>
    </xdr:from>
    <xdr:to>
      <xdr:col>25</xdr:col>
      <xdr:colOff>419455</xdr:colOff>
      <xdr:row>36</xdr:row>
      <xdr:rowOff>108673</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E73766EB-857E-F448-5C5C-B995766E1AE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535329" y="445539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134148</xdr:colOff>
      <xdr:row>38</xdr:row>
      <xdr:rowOff>2836</xdr:rowOff>
    </xdr:from>
    <xdr:to>
      <xdr:col>25</xdr:col>
      <xdr:colOff>438948</xdr:colOff>
      <xdr:row>51</xdr:row>
      <xdr:rowOff>50904</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0720FF24-FF22-DB67-DD07-C677FECBDBA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5554822" y="718867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18</xdr:col>
      <xdr:colOff>579120</xdr:colOff>
      <xdr:row>12</xdr:row>
      <xdr:rowOff>11430</xdr:rowOff>
    </xdr:from>
    <xdr:to>
      <xdr:col>24</xdr:col>
      <xdr:colOff>586740</xdr:colOff>
      <xdr:row>27</xdr:row>
      <xdr:rowOff>11430</xdr:rowOff>
    </xdr:to>
    <xdr:graphicFrame macro="">
      <xdr:nvGraphicFramePr>
        <xdr:cNvPr id="2" name="Chart 1">
          <a:extLst>
            <a:ext uri="{FF2B5EF4-FFF2-40B4-BE49-F238E27FC236}">
              <a16:creationId xmlns:a16="http://schemas.microsoft.com/office/drawing/2014/main" id="{A357A80A-01F6-A2F1-CB41-D1A985864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800100</xdr:colOff>
      <xdr:row>11</xdr:row>
      <xdr:rowOff>49530</xdr:rowOff>
    </xdr:from>
    <xdr:to>
      <xdr:col>19</xdr:col>
      <xdr:colOff>419100</xdr:colOff>
      <xdr:row>26</xdr:row>
      <xdr:rowOff>49530</xdr:rowOff>
    </xdr:to>
    <xdr:graphicFrame macro="">
      <xdr:nvGraphicFramePr>
        <xdr:cNvPr id="2" name="Chart 1">
          <a:extLst>
            <a:ext uri="{FF2B5EF4-FFF2-40B4-BE49-F238E27FC236}">
              <a16:creationId xmlns:a16="http://schemas.microsoft.com/office/drawing/2014/main" id="{13EB62FE-8005-4D1D-8B79-907F00D31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205740</xdr:colOff>
      <xdr:row>21</xdr:row>
      <xdr:rowOff>102870</xdr:rowOff>
    </xdr:from>
    <xdr:to>
      <xdr:col>15</xdr:col>
      <xdr:colOff>220980</xdr:colOff>
      <xdr:row>36</xdr:row>
      <xdr:rowOff>157734</xdr:rowOff>
    </xdr:to>
    <xdr:graphicFrame macro="">
      <xdr:nvGraphicFramePr>
        <xdr:cNvPr id="4" name="Chart 3">
          <a:extLst>
            <a:ext uri="{FF2B5EF4-FFF2-40B4-BE49-F238E27FC236}">
              <a16:creationId xmlns:a16="http://schemas.microsoft.com/office/drawing/2014/main" id="{3F0B87FF-798C-6693-0A77-E3ED44606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182880</xdr:colOff>
      <xdr:row>20</xdr:row>
      <xdr:rowOff>167640</xdr:rowOff>
    </xdr:from>
    <xdr:to>
      <xdr:col>2</xdr:col>
      <xdr:colOff>868680</xdr:colOff>
      <xdr:row>34</xdr:row>
      <xdr:rowOff>74295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F51C06CA-34DB-1420-CF31-00BA55A6A1B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2880" y="3947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75661</xdr:colOff>
      <xdr:row>4</xdr:row>
      <xdr:rowOff>118516</xdr:rowOff>
    </xdr:to>
    <xdr:sp macro="" textlink="">
      <xdr:nvSpPr>
        <xdr:cNvPr id="6" name="Rectangle: Rounded Corners 5">
          <a:extLst>
            <a:ext uri="{FF2B5EF4-FFF2-40B4-BE49-F238E27FC236}">
              <a16:creationId xmlns:a16="http://schemas.microsoft.com/office/drawing/2014/main" id="{84E65523-DE20-4A48-889C-50C9EAA40A0F}"/>
            </a:ext>
          </a:extLst>
        </xdr:cNvPr>
        <xdr:cNvSpPr/>
      </xdr:nvSpPr>
      <xdr:spPr>
        <a:xfrm>
          <a:off x="0" y="0"/>
          <a:ext cx="15315661" cy="850036"/>
        </a:xfrm>
        <a:prstGeom prst="roundRect">
          <a:avLst/>
        </a:prstGeom>
        <a:noFill/>
        <a:ln>
          <a:solidFill>
            <a:schemeClr val="bg2">
              <a:lumMod val="10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0</xdr:col>
      <xdr:colOff>38100</xdr:colOff>
      <xdr:row>5</xdr:row>
      <xdr:rowOff>15240</xdr:rowOff>
    </xdr:from>
    <xdr:to>
      <xdr:col>3</xdr:col>
      <xdr:colOff>474759</xdr:colOff>
      <xdr:row>9</xdr:row>
      <xdr:rowOff>179996</xdr:rowOff>
    </xdr:to>
    <xdr:grpSp>
      <xdr:nvGrpSpPr>
        <xdr:cNvPr id="7" name="Group 6">
          <a:extLst>
            <a:ext uri="{FF2B5EF4-FFF2-40B4-BE49-F238E27FC236}">
              <a16:creationId xmlns:a16="http://schemas.microsoft.com/office/drawing/2014/main" id="{E724F9F8-FCAA-4061-8D6D-C840B9B0B7AA}"/>
            </a:ext>
          </a:extLst>
        </xdr:cNvPr>
        <xdr:cNvGrpSpPr/>
      </xdr:nvGrpSpPr>
      <xdr:grpSpPr>
        <a:xfrm>
          <a:off x="38100" y="946573"/>
          <a:ext cx="2265459" cy="909823"/>
          <a:chOff x="175260" y="1051560"/>
          <a:chExt cx="2255520" cy="899160"/>
        </a:xfrm>
      </xdr:grpSpPr>
      <xdr:sp macro="" textlink="">
        <xdr:nvSpPr>
          <xdr:cNvPr id="8" name="Rectangle: Rounded Corners 7">
            <a:extLst>
              <a:ext uri="{FF2B5EF4-FFF2-40B4-BE49-F238E27FC236}">
                <a16:creationId xmlns:a16="http://schemas.microsoft.com/office/drawing/2014/main" id="{E78192E5-5ED2-6315-763A-75545737A721}"/>
              </a:ext>
            </a:extLst>
          </xdr:cNvPr>
          <xdr:cNvSpPr/>
        </xdr:nvSpPr>
        <xdr:spPr>
          <a:xfrm>
            <a:off x="175260" y="1051560"/>
            <a:ext cx="2255520" cy="899160"/>
          </a:xfrm>
          <a:prstGeom prst="roundRect">
            <a:avLst/>
          </a:prstGeom>
          <a:no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AB0DC1AE-1F92-1CC5-5C70-870E6ECD4518}"/>
              </a:ext>
            </a:extLst>
          </xdr:cNvPr>
          <xdr:cNvSpPr/>
        </xdr:nvSpPr>
        <xdr:spPr>
          <a:xfrm>
            <a:off x="281940" y="1097280"/>
            <a:ext cx="7239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9CD78BB7-B593-08C3-DCC1-A9394336B012}"/>
              </a:ext>
            </a:extLst>
          </xdr:cNvPr>
          <xdr:cNvSpPr/>
        </xdr:nvSpPr>
        <xdr:spPr>
          <a:xfrm>
            <a:off x="1089660" y="1165860"/>
            <a:ext cx="1173480" cy="342900"/>
          </a:xfrm>
          <a:prstGeom prst="roundRect">
            <a:avLst/>
          </a:prstGeom>
          <a:noFill/>
          <a:ln>
            <a:solidFill>
              <a:schemeClr val="tx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latin typeface="Arial Black" panose="020B0A04020102020204" pitchFamily="34" charset="0"/>
              </a:rPr>
              <a:t>Total Sales</a:t>
            </a:r>
          </a:p>
        </xdr:txBody>
      </xdr:sp>
      <xdr:sp macro="" textlink="[1]Retail_Project_Dataset!C205">
        <xdr:nvSpPr>
          <xdr:cNvPr id="11" name="Rectangle 10">
            <a:extLst>
              <a:ext uri="{FF2B5EF4-FFF2-40B4-BE49-F238E27FC236}">
                <a16:creationId xmlns:a16="http://schemas.microsoft.com/office/drawing/2014/main" id="{68082B1D-A585-6BBD-5CF4-F4CDE4D2C395}"/>
              </a:ext>
            </a:extLst>
          </xdr:cNvPr>
          <xdr:cNvSpPr/>
        </xdr:nvSpPr>
        <xdr:spPr>
          <a:xfrm>
            <a:off x="1089660" y="1600200"/>
            <a:ext cx="1303020" cy="29718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800" b="1" i="0" u="none" strike="noStrike">
              <a:solidFill>
                <a:schemeClr val="tx2"/>
              </a:solidFill>
              <a:latin typeface="Aptos Narrow" panose="020B0004020202020204" pitchFamily="34" charset="0"/>
            </a:endParaRPr>
          </a:p>
        </xdr:txBody>
      </xdr:sp>
    </xdr:grpSp>
    <xdr:clientData/>
  </xdr:twoCellAnchor>
  <xdr:twoCellAnchor>
    <xdr:from>
      <xdr:col>4</xdr:col>
      <xdr:colOff>0</xdr:colOff>
      <xdr:row>5</xdr:row>
      <xdr:rowOff>22860</xdr:rowOff>
    </xdr:from>
    <xdr:to>
      <xdr:col>7</xdr:col>
      <xdr:colOff>436659</xdr:colOff>
      <xdr:row>10</xdr:row>
      <xdr:rowOff>4736</xdr:rowOff>
    </xdr:to>
    <xdr:grpSp>
      <xdr:nvGrpSpPr>
        <xdr:cNvPr id="17" name="Group 16">
          <a:extLst>
            <a:ext uri="{FF2B5EF4-FFF2-40B4-BE49-F238E27FC236}">
              <a16:creationId xmlns:a16="http://schemas.microsoft.com/office/drawing/2014/main" id="{BA9AFEB5-11C4-9787-74ED-60CB58ABFCB2}"/>
            </a:ext>
          </a:extLst>
        </xdr:cNvPr>
        <xdr:cNvGrpSpPr/>
      </xdr:nvGrpSpPr>
      <xdr:grpSpPr>
        <a:xfrm>
          <a:off x="2438400" y="954193"/>
          <a:ext cx="2265459" cy="913210"/>
          <a:chOff x="175260" y="1051560"/>
          <a:chExt cx="2255520" cy="899160"/>
        </a:xfrm>
      </xdr:grpSpPr>
      <xdr:sp macro="" textlink="">
        <xdr:nvSpPr>
          <xdr:cNvPr id="18" name="Rectangle: Rounded Corners 17">
            <a:extLst>
              <a:ext uri="{FF2B5EF4-FFF2-40B4-BE49-F238E27FC236}">
                <a16:creationId xmlns:a16="http://schemas.microsoft.com/office/drawing/2014/main" id="{CC5C7E8A-EE35-5806-A0BA-5FE45150B0E6}"/>
              </a:ext>
            </a:extLst>
          </xdr:cNvPr>
          <xdr:cNvSpPr/>
        </xdr:nvSpPr>
        <xdr:spPr>
          <a:xfrm>
            <a:off x="175260" y="1051560"/>
            <a:ext cx="2255520" cy="899160"/>
          </a:xfrm>
          <a:prstGeom prst="roundRect">
            <a:avLst/>
          </a:prstGeom>
          <a:no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4F0B368A-2847-865F-DEAC-508116A5E4D1}"/>
              </a:ext>
            </a:extLst>
          </xdr:cNvPr>
          <xdr:cNvSpPr/>
        </xdr:nvSpPr>
        <xdr:spPr>
          <a:xfrm>
            <a:off x="281940" y="1097280"/>
            <a:ext cx="7239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6B0B0F50-E395-EF60-546E-F7956F9B50B4}"/>
              </a:ext>
            </a:extLst>
          </xdr:cNvPr>
          <xdr:cNvSpPr/>
        </xdr:nvSpPr>
        <xdr:spPr>
          <a:xfrm>
            <a:off x="1089660" y="1165860"/>
            <a:ext cx="1260417" cy="342900"/>
          </a:xfrm>
          <a:prstGeom prst="roundRect">
            <a:avLst/>
          </a:prstGeom>
          <a:noFill/>
          <a:ln>
            <a:solidFill>
              <a:schemeClr val="tx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latin typeface="Arial Black" panose="020B0A04020102020204" pitchFamily="34" charset="0"/>
              </a:rPr>
              <a:t>Total orders</a:t>
            </a:r>
          </a:p>
        </xdr:txBody>
      </xdr:sp>
      <xdr:sp macro="" textlink="[1]Retail_Project_Dataset!C205">
        <xdr:nvSpPr>
          <xdr:cNvPr id="21" name="Rectangle 20">
            <a:extLst>
              <a:ext uri="{FF2B5EF4-FFF2-40B4-BE49-F238E27FC236}">
                <a16:creationId xmlns:a16="http://schemas.microsoft.com/office/drawing/2014/main" id="{4A9A2175-3104-E7A2-BE83-28F5D7D3F6EA}"/>
              </a:ext>
            </a:extLst>
          </xdr:cNvPr>
          <xdr:cNvSpPr/>
        </xdr:nvSpPr>
        <xdr:spPr>
          <a:xfrm>
            <a:off x="1089660" y="1600200"/>
            <a:ext cx="1303020" cy="29718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800" b="1" i="0" u="none" strike="noStrike">
              <a:solidFill>
                <a:schemeClr val="tx2"/>
              </a:solidFill>
              <a:latin typeface="Aptos Narrow" panose="020B0004020202020204" pitchFamily="34" charset="0"/>
            </a:endParaRPr>
          </a:p>
        </xdr:txBody>
      </xdr:sp>
    </xdr:grpSp>
    <xdr:clientData/>
  </xdr:twoCellAnchor>
  <xdr:twoCellAnchor>
    <xdr:from>
      <xdr:col>7</xdr:col>
      <xdr:colOff>601134</xdr:colOff>
      <xdr:row>5</xdr:row>
      <xdr:rowOff>20320</xdr:rowOff>
    </xdr:from>
    <xdr:to>
      <xdr:col>11</xdr:col>
      <xdr:colOff>428193</xdr:colOff>
      <xdr:row>10</xdr:row>
      <xdr:rowOff>2196</xdr:rowOff>
    </xdr:to>
    <xdr:grpSp>
      <xdr:nvGrpSpPr>
        <xdr:cNvPr id="37" name="Group 36">
          <a:extLst>
            <a:ext uri="{FF2B5EF4-FFF2-40B4-BE49-F238E27FC236}">
              <a16:creationId xmlns:a16="http://schemas.microsoft.com/office/drawing/2014/main" id="{7638411D-CB52-C475-B6F1-070208A02272}"/>
            </a:ext>
          </a:extLst>
        </xdr:cNvPr>
        <xdr:cNvGrpSpPr/>
      </xdr:nvGrpSpPr>
      <xdr:grpSpPr>
        <a:xfrm>
          <a:off x="4868334" y="951653"/>
          <a:ext cx="2265459" cy="913210"/>
          <a:chOff x="175260" y="1051560"/>
          <a:chExt cx="2255520" cy="899160"/>
        </a:xfrm>
      </xdr:grpSpPr>
      <xdr:sp macro="" textlink="">
        <xdr:nvSpPr>
          <xdr:cNvPr id="38" name="Rectangle: Rounded Corners 37">
            <a:extLst>
              <a:ext uri="{FF2B5EF4-FFF2-40B4-BE49-F238E27FC236}">
                <a16:creationId xmlns:a16="http://schemas.microsoft.com/office/drawing/2014/main" id="{2B95D6A7-73AA-C1C3-BB25-AF3F553DE881}"/>
              </a:ext>
            </a:extLst>
          </xdr:cNvPr>
          <xdr:cNvSpPr/>
        </xdr:nvSpPr>
        <xdr:spPr>
          <a:xfrm>
            <a:off x="175260" y="1051560"/>
            <a:ext cx="2255520" cy="899160"/>
          </a:xfrm>
          <a:prstGeom prst="roundRect">
            <a:avLst/>
          </a:prstGeom>
          <a:no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9" name="Rectangle: Rounded Corners 38">
            <a:extLst>
              <a:ext uri="{FF2B5EF4-FFF2-40B4-BE49-F238E27FC236}">
                <a16:creationId xmlns:a16="http://schemas.microsoft.com/office/drawing/2014/main" id="{4800DAF4-D993-5AD3-01F2-8E4BC740F3A3}"/>
              </a:ext>
            </a:extLst>
          </xdr:cNvPr>
          <xdr:cNvSpPr/>
        </xdr:nvSpPr>
        <xdr:spPr>
          <a:xfrm>
            <a:off x="281940" y="1097280"/>
            <a:ext cx="7239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Rectangle: Rounded Corners 39">
            <a:extLst>
              <a:ext uri="{FF2B5EF4-FFF2-40B4-BE49-F238E27FC236}">
                <a16:creationId xmlns:a16="http://schemas.microsoft.com/office/drawing/2014/main" id="{2E5D10F8-FD64-B55E-9472-AFBA538CCD10}"/>
              </a:ext>
            </a:extLst>
          </xdr:cNvPr>
          <xdr:cNvSpPr/>
        </xdr:nvSpPr>
        <xdr:spPr>
          <a:xfrm>
            <a:off x="1089660" y="1165860"/>
            <a:ext cx="1173480" cy="342900"/>
          </a:xfrm>
          <a:prstGeom prst="roundRect">
            <a:avLst/>
          </a:prstGeom>
          <a:noFill/>
          <a:ln>
            <a:solidFill>
              <a:schemeClr val="tx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latin typeface="Arial Black" panose="020B0A04020102020204" pitchFamily="34" charset="0"/>
              </a:rPr>
              <a:t>Total Cus</a:t>
            </a:r>
          </a:p>
        </xdr:txBody>
      </xdr:sp>
      <xdr:sp macro="" textlink="Sales_Data!Z11">
        <xdr:nvSpPr>
          <xdr:cNvPr id="41" name="Rectangle 40">
            <a:extLst>
              <a:ext uri="{FF2B5EF4-FFF2-40B4-BE49-F238E27FC236}">
                <a16:creationId xmlns:a16="http://schemas.microsoft.com/office/drawing/2014/main" id="{84149586-6A4D-602C-4C82-A507186B9014}"/>
              </a:ext>
            </a:extLst>
          </xdr:cNvPr>
          <xdr:cNvSpPr/>
        </xdr:nvSpPr>
        <xdr:spPr>
          <a:xfrm>
            <a:off x="1089660" y="1600200"/>
            <a:ext cx="1303020" cy="29718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EA558ED-1A8A-4D53-A35F-A40A9947F9A7}" type="TxLink">
              <a:rPr lang="en-US" sz="1600" b="1" i="0" u="none" strike="noStrike">
                <a:solidFill>
                  <a:srgbClr val="000000"/>
                </a:solidFill>
                <a:latin typeface="Aptos Narrow" panose="020B0004020202020204" pitchFamily="34" charset="0"/>
                <a:ea typeface="Calibri"/>
                <a:cs typeface="Calibri"/>
              </a:rPr>
              <a:pPr algn="ctr"/>
              <a:t>500</a:t>
            </a:fld>
            <a:endParaRPr lang="en-US" sz="1600" b="1" i="0" u="none" strike="noStrike">
              <a:solidFill>
                <a:schemeClr val="tx2"/>
              </a:solidFill>
              <a:latin typeface="Aptos Narrow" panose="020B0004020202020204" pitchFamily="34" charset="0"/>
            </a:endParaRPr>
          </a:p>
        </xdr:txBody>
      </xdr:sp>
    </xdr:grpSp>
    <xdr:clientData/>
  </xdr:twoCellAnchor>
  <xdr:twoCellAnchor>
    <xdr:from>
      <xdr:col>11</xdr:col>
      <xdr:colOff>592667</xdr:colOff>
      <xdr:row>5</xdr:row>
      <xdr:rowOff>20320</xdr:rowOff>
    </xdr:from>
    <xdr:to>
      <xdr:col>15</xdr:col>
      <xdr:colOff>584200</xdr:colOff>
      <xdr:row>10</xdr:row>
      <xdr:rowOff>2196</xdr:rowOff>
    </xdr:to>
    <xdr:grpSp>
      <xdr:nvGrpSpPr>
        <xdr:cNvPr id="47" name="Group 46">
          <a:extLst>
            <a:ext uri="{FF2B5EF4-FFF2-40B4-BE49-F238E27FC236}">
              <a16:creationId xmlns:a16="http://schemas.microsoft.com/office/drawing/2014/main" id="{C412F5B0-4895-3B0D-A8BD-B815A152C84F}"/>
            </a:ext>
          </a:extLst>
        </xdr:cNvPr>
        <xdr:cNvGrpSpPr/>
      </xdr:nvGrpSpPr>
      <xdr:grpSpPr>
        <a:xfrm>
          <a:off x="7298267" y="951653"/>
          <a:ext cx="2429933" cy="913210"/>
          <a:chOff x="175260" y="1051560"/>
          <a:chExt cx="2255520" cy="899160"/>
        </a:xfrm>
      </xdr:grpSpPr>
      <xdr:sp macro="" textlink="">
        <xdr:nvSpPr>
          <xdr:cNvPr id="48" name="Rectangle: Rounded Corners 47">
            <a:extLst>
              <a:ext uri="{FF2B5EF4-FFF2-40B4-BE49-F238E27FC236}">
                <a16:creationId xmlns:a16="http://schemas.microsoft.com/office/drawing/2014/main" id="{E38A73CD-41AC-1063-5ACE-C0D993A286C6}"/>
              </a:ext>
            </a:extLst>
          </xdr:cNvPr>
          <xdr:cNvSpPr/>
        </xdr:nvSpPr>
        <xdr:spPr>
          <a:xfrm>
            <a:off x="175260" y="1051560"/>
            <a:ext cx="2255520" cy="899160"/>
          </a:xfrm>
          <a:prstGeom prst="roundRect">
            <a:avLst/>
          </a:prstGeom>
          <a:no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9" name="Rectangle: Rounded Corners 48">
            <a:extLst>
              <a:ext uri="{FF2B5EF4-FFF2-40B4-BE49-F238E27FC236}">
                <a16:creationId xmlns:a16="http://schemas.microsoft.com/office/drawing/2014/main" id="{BE84D624-1139-C5B3-B4BD-7A0E632294A7}"/>
              </a:ext>
            </a:extLst>
          </xdr:cNvPr>
          <xdr:cNvSpPr/>
        </xdr:nvSpPr>
        <xdr:spPr>
          <a:xfrm>
            <a:off x="281940" y="1097280"/>
            <a:ext cx="7239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Rectangle: Rounded Corners 49">
            <a:extLst>
              <a:ext uri="{FF2B5EF4-FFF2-40B4-BE49-F238E27FC236}">
                <a16:creationId xmlns:a16="http://schemas.microsoft.com/office/drawing/2014/main" id="{30E2D216-6141-D1C2-AAE3-FA5FD9CE99E7}"/>
              </a:ext>
            </a:extLst>
          </xdr:cNvPr>
          <xdr:cNvSpPr/>
        </xdr:nvSpPr>
        <xdr:spPr>
          <a:xfrm>
            <a:off x="1089660" y="1165860"/>
            <a:ext cx="1260417" cy="342900"/>
          </a:xfrm>
          <a:prstGeom prst="roundRect">
            <a:avLst/>
          </a:prstGeom>
          <a:noFill/>
          <a:ln>
            <a:solidFill>
              <a:schemeClr val="tx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latin typeface="Arial Black" panose="020B0A04020102020204" pitchFamily="34" charset="0"/>
              </a:rPr>
              <a:t>Ave</a:t>
            </a:r>
            <a:r>
              <a:rPr lang="en-IN" sz="1200" b="1" baseline="0">
                <a:latin typeface="Arial Black" panose="020B0A04020102020204" pitchFamily="34" charset="0"/>
              </a:rPr>
              <a:t> Order Rs </a:t>
            </a:r>
            <a:endParaRPr lang="en-IN" sz="1200" b="1">
              <a:latin typeface="Arial Black" panose="020B0A04020102020204" pitchFamily="34" charset="0"/>
            </a:endParaRPr>
          </a:p>
        </xdr:txBody>
      </xdr:sp>
      <xdr:sp macro="" textlink="Sales_Data!Y6">
        <xdr:nvSpPr>
          <xdr:cNvPr id="51" name="Rectangle 50">
            <a:extLst>
              <a:ext uri="{FF2B5EF4-FFF2-40B4-BE49-F238E27FC236}">
                <a16:creationId xmlns:a16="http://schemas.microsoft.com/office/drawing/2014/main" id="{1D7A1B82-48BE-58BE-21B5-595A6E3D58CA}"/>
              </a:ext>
            </a:extLst>
          </xdr:cNvPr>
          <xdr:cNvSpPr/>
        </xdr:nvSpPr>
        <xdr:spPr>
          <a:xfrm>
            <a:off x="1089660" y="1600200"/>
            <a:ext cx="1303020" cy="29718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1AFD925-BF04-4ACE-8178-48C5A220A70B}" type="TxLink">
              <a:rPr lang="en-US" sz="1600" b="1" i="0" u="none" strike="noStrike">
                <a:solidFill>
                  <a:srgbClr val="000000"/>
                </a:solidFill>
                <a:latin typeface="Aptos Narrow" panose="020B0004020202020204" pitchFamily="34" charset="0"/>
                <a:ea typeface="Calibri"/>
                <a:cs typeface="Calibri"/>
              </a:rPr>
              <a:pPr algn="ctr"/>
              <a:t>₹ 6,777</a:t>
            </a:fld>
            <a:endParaRPr lang="en-US" sz="1600" b="1" i="0" u="none" strike="noStrike">
              <a:solidFill>
                <a:schemeClr val="tx2"/>
              </a:solidFill>
              <a:latin typeface="Aptos Narrow" panose="020B0004020202020204" pitchFamily="34" charset="0"/>
            </a:endParaRPr>
          </a:p>
        </xdr:txBody>
      </xdr:sp>
    </xdr:grpSp>
    <xdr:clientData/>
  </xdr:twoCellAnchor>
  <xdr:twoCellAnchor>
    <xdr:from>
      <xdr:col>2</xdr:col>
      <xdr:colOff>255693</xdr:colOff>
      <xdr:row>10</xdr:row>
      <xdr:rowOff>185421</xdr:rowOff>
    </xdr:from>
    <xdr:to>
      <xdr:col>9</xdr:col>
      <xdr:colOff>309034</xdr:colOff>
      <xdr:row>25</xdr:row>
      <xdr:rowOff>113455</xdr:rowOff>
    </xdr:to>
    <xdr:graphicFrame macro="">
      <xdr:nvGraphicFramePr>
        <xdr:cNvPr id="52" name="Chart 51">
          <a:extLst>
            <a:ext uri="{FF2B5EF4-FFF2-40B4-BE49-F238E27FC236}">
              <a16:creationId xmlns:a16="http://schemas.microsoft.com/office/drawing/2014/main" id="{49BD061B-A30C-4CC5-BFC9-8460458F2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408093</xdr:colOff>
      <xdr:row>11</xdr:row>
      <xdr:rowOff>31327</xdr:rowOff>
    </xdr:from>
    <xdr:to>
      <xdr:col>15</xdr:col>
      <xdr:colOff>430953</xdr:colOff>
      <xdr:row>25</xdr:row>
      <xdr:rowOff>138007</xdr:rowOff>
    </xdr:to>
    <xdr:graphicFrame macro="">
      <xdr:nvGraphicFramePr>
        <xdr:cNvPr id="54" name="Chart 53">
          <a:extLst>
            <a:ext uri="{FF2B5EF4-FFF2-40B4-BE49-F238E27FC236}">
              <a16:creationId xmlns:a16="http://schemas.microsoft.com/office/drawing/2014/main" id="{CE9E378F-E051-4602-9509-451C35C38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567266</xdr:colOff>
      <xdr:row>11</xdr:row>
      <xdr:rowOff>38100</xdr:rowOff>
    </xdr:from>
    <xdr:to>
      <xdr:col>25</xdr:col>
      <xdr:colOff>99059</xdr:colOff>
      <xdr:row>25</xdr:row>
      <xdr:rowOff>137160</xdr:rowOff>
    </xdr:to>
    <mc:AlternateContent xmlns:mc="http://schemas.openxmlformats.org/markup-compatibility/2006">
      <mc:Choice xmlns:cx2="http://schemas.microsoft.com/office/drawing/2015/10/21/chartex" Requires="cx2">
        <xdr:graphicFrame macro="">
          <xdr:nvGraphicFramePr>
            <xdr:cNvPr id="55" name="Chart 54">
              <a:extLst>
                <a:ext uri="{FF2B5EF4-FFF2-40B4-BE49-F238E27FC236}">
                  <a16:creationId xmlns:a16="http://schemas.microsoft.com/office/drawing/2014/main" id="{27AAB0FC-5E9D-493D-917F-9C6BA4533C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711266" y="2049780"/>
              <a:ext cx="5627793" cy="2659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463973</xdr:colOff>
      <xdr:row>26</xdr:row>
      <xdr:rowOff>36407</xdr:rowOff>
    </xdr:from>
    <xdr:to>
      <xdr:col>14</xdr:col>
      <xdr:colOff>563033</xdr:colOff>
      <xdr:row>40</xdr:row>
      <xdr:rowOff>127847</xdr:rowOff>
    </xdr:to>
    <xdr:graphicFrame macro="">
      <xdr:nvGraphicFramePr>
        <xdr:cNvPr id="56" name="Chart 55">
          <a:extLst>
            <a:ext uri="{FF2B5EF4-FFF2-40B4-BE49-F238E27FC236}">
              <a16:creationId xmlns:a16="http://schemas.microsoft.com/office/drawing/2014/main" id="{17FC0AB2-6FE9-4647-95BC-AA7EC15EA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59267</xdr:colOff>
      <xdr:row>26</xdr:row>
      <xdr:rowOff>22860</xdr:rowOff>
    </xdr:from>
    <xdr:to>
      <xdr:col>25</xdr:col>
      <xdr:colOff>143932</xdr:colOff>
      <xdr:row>40</xdr:row>
      <xdr:rowOff>144780</xdr:rowOff>
    </xdr:to>
    <xdr:graphicFrame macro="">
      <xdr:nvGraphicFramePr>
        <xdr:cNvPr id="57" name="Chart 56">
          <a:extLst>
            <a:ext uri="{FF2B5EF4-FFF2-40B4-BE49-F238E27FC236}">
              <a16:creationId xmlns:a16="http://schemas.microsoft.com/office/drawing/2014/main" id="{BCD762E7-F6A4-45D5-A41B-910A81775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245534</xdr:colOff>
      <xdr:row>26</xdr:row>
      <xdr:rowOff>22013</xdr:rowOff>
    </xdr:from>
    <xdr:to>
      <xdr:col>8</xdr:col>
      <xdr:colOff>377614</xdr:colOff>
      <xdr:row>40</xdr:row>
      <xdr:rowOff>143933</xdr:rowOff>
    </xdr:to>
    <xdr:graphicFrame macro="">
      <xdr:nvGraphicFramePr>
        <xdr:cNvPr id="58" name="Chart 57">
          <a:extLst>
            <a:ext uri="{FF2B5EF4-FFF2-40B4-BE49-F238E27FC236}">
              <a16:creationId xmlns:a16="http://schemas.microsoft.com/office/drawing/2014/main" id="{A992ADBE-6F4D-41DD-8387-02CAF0154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474135</xdr:colOff>
      <xdr:row>7</xdr:row>
      <xdr:rowOff>143933</xdr:rowOff>
    </xdr:from>
    <xdr:to>
      <xdr:col>3</xdr:col>
      <xdr:colOff>228601</xdr:colOff>
      <xdr:row>9</xdr:row>
      <xdr:rowOff>67627</xdr:rowOff>
    </xdr:to>
    <xdr:sp macro="" textlink="Sales_Data!Y4">
      <xdr:nvSpPr>
        <xdr:cNvPr id="3" name="Rectangle 2">
          <a:extLst>
            <a:ext uri="{FF2B5EF4-FFF2-40B4-BE49-F238E27FC236}">
              <a16:creationId xmlns:a16="http://schemas.microsoft.com/office/drawing/2014/main" id="{6144AF88-1D44-4014-A8C3-6A49058E612A}"/>
            </a:ext>
          </a:extLst>
        </xdr:cNvPr>
        <xdr:cNvSpPr/>
      </xdr:nvSpPr>
      <xdr:spPr>
        <a:xfrm>
          <a:off x="1083735" y="1447800"/>
          <a:ext cx="973666" cy="29622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E3F7277A-7D60-4C1B-AC35-55B8302B7A2C}" type="TxLink">
            <a:rPr lang="en-US" sz="1600" b="1" i="0" u="none" strike="noStrike">
              <a:solidFill>
                <a:srgbClr val="000000"/>
              </a:solidFill>
              <a:latin typeface="Aptos Narrow" panose="020B0004020202020204" pitchFamily="34" charset="0"/>
              <a:ea typeface="Calibri"/>
              <a:cs typeface="Calibri"/>
            </a:rPr>
            <a:pPr algn="l"/>
            <a:t>₹ 33.95 L</a:t>
          </a:fld>
          <a:endParaRPr lang="en-US" sz="1600" b="1" i="0" u="none" strike="noStrike">
            <a:solidFill>
              <a:schemeClr val="tx2"/>
            </a:solidFill>
            <a:latin typeface="Aptos Narrow" panose="020B0004020202020204" pitchFamily="34" charset="0"/>
          </a:endParaRPr>
        </a:p>
      </xdr:txBody>
    </xdr:sp>
    <xdr:clientData/>
  </xdr:twoCellAnchor>
  <xdr:twoCellAnchor>
    <xdr:from>
      <xdr:col>5</xdr:col>
      <xdr:colOff>431801</xdr:colOff>
      <xdr:row>7</xdr:row>
      <xdr:rowOff>169332</xdr:rowOff>
    </xdr:from>
    <xdr:to>
      <xdr:col>7</xdr:col>
      <xdr:colOff>186267</xdr:colOff>
      <xdr:row>9</xdr:row>
      <xdr:rowOff>93026</xdr:rowOff>
    </xdr:to>
    <xdr:sp macro="" textlink="Sales_Data!Y20">
      <xdr:nvSpPr>
        <xdr:cNvPr id="5" name="Rectangle 4">
          <a:extLst>
            <a:ext uri="{FF2B5EF4-FFF2-40B4-BE49-F238E27FC236}">
              <a16:creationId xmlns:a16="http://schemas.microsoft.com/office/drawing/2014/main" id="{11AC0ACB-0A96-4A41-9372-98C3A9CF13D6}"/>
            </a:ext>
          </a:extLst>
        </xdr:cNvPr>
        <xdr:cNvSpPr/>
      </xdr:nvSpPr>
      <xdr:spPr>
        <a:xfrm>
          <a:off x="3479801" y="1473199"/>
          <a:ext cx="973666" cy="29622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BDFB0FF-88A1-424F-8639-9CCDAF6854FC}" type="TxLink">
            <a:rPr lang="en-US" sz="1600" b="1" i="0" u="none" strike="noStrike">
              <a:solidFill>
                <a:srgbClr val="000000"/>
              </a:solidFill>
              <a:latin typeface="Aptos Narrow" panose="020B0004020202020204" pitchFamily="34" charset="0"/>
              <a:ea typeface="Calibri"/>
              <a:cs typeface="Calibri"/>
            </a:rPr>
            <a:pPr algn="ctr"/>
            <a:t>727</a:t>
          </a:fld>
          <a:endParaRPr lang="en-US" sz="1600" b="1" i="0" u="none" strike="noStrike">
            <a:solidFill>
              <a:schemeClr val="tx2"/>
            </a:solidFill>
            <a:latin typeface="Aptos Narrow" panose="020B0004020202020204" pitchFamily="34" charset="0"/>
          </a:endParaRPr>
        </a:p>
      </xdr:txBody>
    </xdr:sp>
    <xdr:clientData/>
  </xdr:twoCellAnchor>
  <xdr:twoCellAnchor editAs="oneCell">
    <xdr:from>
      <xdr:col>8</xdr:col>
      <xdr:colOff>67733</xdr:colOff>
      <xdr:row>5</xdr:row>
      <xdr:rowOff>84667</xdr:rowOff>
    </xdr:from>
    <xdr:to>
      <xdr:col>9</xdr:col>
      <xdr:colOff>236880</xdr:colOff>
      <xdr:row>9</xdr:row>
      <xdr:rowOff>118347</xdr:rowOff>
    </xdr:to>
    <xdr:pic>
      <xdr:nvPicPr>
        <xdr:cNvPr id="12" name="Graphic 11" descr="User with solid fill">
          <a:extLst>
            <a:ext uri="{FF2B5EF4-FFF2-40B4-BE49-F238E27FC236}">
              <a16:creationId xmlns:a16="http://schemas.microsoft.com/office/drawing/2014/main" id="{D81D45A9-244F-4C6A-95CF-5BB770534FB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944533" y="1016000"/>
          <a:ext cx="778747" cy="778747"/>
        </a:xfrm>
        <a:prstGeom prst="rect">
          <a:avLst/>
        </a:prstGeom>
      </xdr:spPr>
    </xdr:pic>
    <xdr:clientData/>
  </xdr:twoCellAnchor>
  <xdr:twoCellAnchor>
    <xdr:from>
      <xdr:col>6</xdr:col>
      <xdr:colOff>67733</xdr:colOff>
      <xdr:row>1</xdr:row>
      <xdr:rowOff>25400</xdr:rowOff>
    </xdr:from>
    <xdr:to>
      <xdr:col>21</xdr:col>
      <xdr:colOff>25400</xdr:colOff>
      <xdr:row>3</xdr:row>
      <xdr:rowOff>70408</xdr:rowOff>
    </xdr:to>
    <xdr:sp macro="" textlink="">
      <xdr:nvSpPr>
        <xdr:cNvPr id="16" name="Rectangle: Rounded Corners 15">
          <a:extLst>
            <a:ext uri="{FF2B5EF4-FFF2-40B4-BE49-F238E27FC236}">
              <a16:creationId xmlns:a16="http://schemas.microsoft.com/office/drawing/2014/main" id="{6D0EA26A-7AD9-46C1-A798-6E927D4919D0}"/>
            </a:ext>
          </a:extLst>
        </xdr:cNvPr>
        <xdr:cNvSpPr/>
      </xdr:nvSpPr>
      <xdr:spPr>
        <a:xfrm>
          <a:off x="3725333" y="211667"/>
          <a:ext cx="9101667" cy="417541"/>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1">
              <a:latin typeface="Arial Black" panose="020B0A04020102020204" pitchFamily="34" charset="0"/>
            </a:rPr>
            <a:t>Customer Intelligence Dashboard: Analysis</a:t>
          </a:r>
          <a:endParaRPr lang="en-IN" sz="2000" b="1">
            <a:solidFill>
              <a:schemeClr val="accent1">
                <a:lumMod val="50000"/>
              </a:schemeClr>
            </a:solidFill>
            <a:latin typeface="Arial Black" panose="020B0A04020102020204" pitchFamily="34" charset="0"/>
          </a:endParaRPr>
        </a:p>
      </xdr:txBody>
    </xdr:sp>
    <xdr:clientData/>
  </xdr:twoCellAnchor>
  <xdr:twoCellAnchor editAs="oneCell">
    <xdr:from>
      <xdr:col>0</xdr:col>
      <xdr:colOff>36000</xdr:colOff>
      <xdr:row>10</xdr:row>
      <xdr:rowOff>152399</xdr:rowOff>
    </xdr:from>
    <xdr:to>
      <xdr:col>2</xdr:col>
      <xdr:colOff>163000</xdr:colOff>
      <xdr:row>40</xdr:row>
      <xdr:rowOff>143933</xdr:rowOff>
    </xdr:to>
    <mc:AlternateContent xmlns:mc="http://schemas.openxmlformats.org/markup-compatibility/2006" xmlns:a14="http://schemas.microsoft.com/office/drawing/2010/main">
      <mc:Choice Requires="a14">
        <xdr:graphicFrame macro="">
          <xdr:nvGraphicFramePr>
            <xdr:cNvPr id="25" name="City 1">
              <a:extLst>
                <a:ext uri="{FF2B5EF4-FFF2-40B4-BE49-F238E27FC236}">
                  <a16:creationId xmlns:a16="http://schemas.microsoft.com/office/drawing/2014/main" id="{722DD268-DB83-435C-9E18-C432641BDB1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6000" y="2015066"/>
              <a:ext cx="1346200" cy="5579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38400</xdr:colOff>
      <xdr:row>5</xdr:row>
      <xdr:rowOff>40667</xdr:rowOff>
    </xdr:from>
    <xdr:to>
      <xdr:col>25</xdr:col>
      <xdr:colOff>127000</xdr:colOff>
      <xdr:row>9</xdr:row>
      <xdr:rowOff>158946</xdr:rowOff>
    </xdr:to>
    <mc:AlternateContent xmlns:mc="http://schemas.openxmlformats.org/markup-compatibility/2006" xmlns:a14="http://schemas.microsoft.com/office/drawing/2010/main">
      <mc:Choice Requires="a14">
        <xdr:graphicFrame macro="">
          <xdr:nvGraphicFramePr>
            <xdr:cNvPr id="26" name="Month 1">
              <a:extLst>
                <a:ext uri="{FF2B5EF4-FFF2-40B4-BE49-F238E27FC236}">
                  <a16:creationId xmlns:a16="http://schemas.microsoft.com/office/drawing/2014/main" id="{64259636-C679-4A2F-A7DD-78CC4496C9F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792000" y="972000"/>
              <a:ext cx="5575000" cy="8633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118534</xdr:colOff>
      <xdr:row>5</xdr:row>
      <xdr:rowOff>110066</xdr:rowOff>
    </xdr:from>
    <xdr:to>
      <xdr:col>13</xdr:col>
      <xdr:colOff>254001</xdr:colOff>
      <xdr:row>9</xdr:row>
      <xdr:rowOff>110066</xdr:rowOff>
    </xdr:to>
    <xdr:pic>
      <xdr:nvPicPr>
        <xdr:cNvPr id="43" name="Graphic 42" descr="Bar chart with solid fill">
          <a:extLst>
            <a:ext uri="{FF2B5EF4-FFF2-40B4-BE49-F238E27FC236}">
              <a16:creationId xmlns:a16="http://schemas.microsoft.com/office/drawing/2014/main" id="{E5647A18-CAA2-28C7-A9FF-6616095D4D9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33734" y="1041399"/>
          <a:ext cx="745067" cy="745067"/>
        </a:xfrm>
        <a:prstGeom prst="rect">
          <a:avLst/>
        </a:prstGeom>
      </xdr:spPr>
    </xdr:pic>
    <xdr:clientData/>
  </xdr:twoCellAnchor>
  <xdr:twoCellAnchor editAs="oneCell">
    <xdr:from>
      <xdr:col>0</xdr:col>
      <xdr:colOff>160866</xdr:colOff>
      <xdr:row>5</xdr:row>
      <xdr:rowOff>135467</xdr:rowOff>
    </xdr:from>
    <xdr:to>
      <xdr:col>1</xdr:col>
      <xdr:colOff>228600</xdr:colOff>
      <xdr:row>9</xdr:row>
      <xdr:rowOff>67734</xdr:rowOff>
    </xdr:to>
    <xdr:pic>
      <xdr:nvPicPr>
        <xdr:cNvPr id="45" name="Picture 44">
          <a:extLst>
            <a:ext uri="{FF2B5EF4-FFF2-40B4-BE49-F238E27FC236}">
              <a16:creationId xmlns:a16="http://schemas.microsoft.com/office/drawing/2014/main" id="{DFDE113E-020F-5ADE-E9DF-BA6929362D97}"/>
            </a:ext>
          </a:extLst>
        </xdr:cNvPr>
        <xdr:cNvPicPr>
          <a:picLocks noChangeAspect="1"/>
        </xdr:cNvPicPr>
      </xdr:nvPicPr>
      <xdr:blipFill>
        <a:blip xmlns:r="http://schemas.openxmlformats.org/officeDocument/2006/relationships" r:embed="rId11"/>
        <a:stretch>
          <a:fillRect/>
        </a:stretch>
      </xdr:blipFill>
      <xdr:spPr>
        <a:xfrm>
          <a:off x="160866" y="1066800"/>
          <a:ext cx="677334" cy="677334"/>
        </a:xfrm>
        <a:prstGeom prst="rect">
          <a:avLst/>
        </a:prstGeom>
      </xdr:spPr>
    </xdr:pic>
    <xdr:clientData/>
  </xdr:twoCellAnchor>
  <xdr:twoCellAnchor editAs="oneCell">
    <xdr:from>
      <xdr:col>4</xdr:col>
      <xdr:colOff>118535</xdr:colOff>
      <xdr:row>5</xdr:row>
      <xdr:rowOff>160867</xdr:rowOff>
    </xdr:from>
    <xdr:to>
      <xdr:col>5</xdr:col>
      <xdr:colOff>135468</xdr:colOff>
      <xdr:row>9</xdr:row>
      <xdr:rowOff>42333</xdr:rowOff>
    </xdr:to>
    <xdr:pic>
      <xdr:nvPicPr>
        <xdr:cNvPr id="53" name="Picture 52">
          <a:extLst>
            <a:ext uri="{FF2B5EF4-FFF2-40B4-BE49-F238E27FC236}">
              <a16:creationId xmlns:a16="http://schemas.microsoft.com/office/drawing/2014/main" id="{1ADA8962-F788-541F-564F-B0F6D109F7F9}"/>
            </a:ext>
          </a:extLst>
        </xdr:cNvPr>
        <xdr:cNvPicPr>
          <a:picLocks noChangeAspect="1"/>
        </xdr:cNvPicPr>
      </xdr:nvPicPr>
      <xdr:blipFill>
        <a:blip xmlns:r="http://schemas.openxmlformats.org/officeDocument/2006/relationships" r:embed="rId12"/>
        <a:stretch>
          <a:fillRect/>
        </a:stretch>
      </xdr:blipFill>
      <xdr:spPr>
        <a:xfrm>
          <a:off x="2556935" y="1092200"/>
          <a:ext cx="626533" cy="6265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excel%20files\Retail_Project%20final.xlsx" TargetMode="External"/><Relationship Id="rId1" Type="http://schemas.openxmlformats.org/officeDocument/2006/relationships/externalLinkPath" Target="file:///C:\excel%20files\Retail_Project%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Retail_Project_Dataset"/>
      <sheetName val="Inventory_Data"/>
      <sheetName val="Product_Master"/>
      <sheetName val="Supplier_Data"/>
      <sheetName val="Formulas_Reference"/>
      <sheetName val="Dashboard"/>
    </sheetNames>
    <sheetDataSet>
      <sheetData sheetId="0"/>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chanran" refreshedDate="46183.62520023148" createdVersion="8" refreshedVersion="8" minRefreshableVersion="3" recordCount="18" xr:uid="{57FD8363-A5CB-46D0-9EE0-5B2DCD74CD5D}">
  <cacheSource type="worksheet">
    <worksheetSource name="Table4"/>
  </cacheSource>
  <cacheFields count="15">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3" maxValue="2024"/>
    </cacheField>
    <cacheField name="Month_Year" numFmtId="0">
      <sharedItems/>
    </cacheField>
    <cacheField name="Total_Orders" numFmtId="0">
      <sharedItems containsSemiMixedTypes="0" containsString="0" containsNumber="1" containsInteger="1" minValue="23" maxValue="55"/>
    </cacheField>
    <cacheField name="Total_Revenue" numFmtId="0">
      <sharedItems containsSemiMixedTypes="0" containsString="0" containsNumber="1" minValue="68894.44" maxValue="218695.85"/>
    </cacheField>
    <cacheField name="Avg_Order_Value" numFmtId="0">
      <sharedItems containsSemiMixedTypes="0" containsString="0" containsNumber="1" minValue="1565.78" maxValue="8628.64"/>
    </cacheField>
    <cacheField name="Top_Category" numFmtId="0">
      <sharedItems/>
    </cacheField>
    <cacheField name="Total_Discount_Given" numFmtId="0">
      <sharedItems containsSemiMixedTypes="0" containsString="0" containsNumber="1" minValue="4388.0600000000004" maxValue="25010.639999999999"/>
    </cacheField>
    <cacheField name="Returns" numFmtId="0">
      <sharedItems containsSemiMixedTypes="0" containsString="0" containsNumber="1" containsInteger="1" minValue="1" maxValue="10"/>
    </cacheField>
    <cacheField name="New_Customers" numFmtId="0">
      <sharedItems containsSemiMixedTypes="0" containsString="0" containsNumber="1" containsInteger="1" minValue="4" maxValue="18"/>
    </cacheField>
    <cacheField name="Return_Rate_%" numFmtId="0">
      <sharedItems containsSemiMixedTypes="0" containsString="0" containsNumber="1" minValue="1.8181818181818181" maxValue="33.333333333333329"/>
    </cacheField>
    <cacheField name="Customer_Growth_Rate" numFmtId="0">
      <sharedItems containsSemiMixedTypes="0" containsString="0" containsNumber="1" minValue="7.6923076923076925" maxValue="58.620689655172406"/>
    </cacheField>
    <cacheField name="Revenue_Category" numFmtId="0">
      <sharedItems/>
    </cacheField>
    <cacheField name="Discount_Impact_%" numFmtId="0">
      <sharedItems containsSemiMixedTypes="0" containsString="0" containsNumber="1" minValue="6.3692512777518768" maxValue="13.578686992469983"/>
    </cacheField>
    <cacheField name="Business_performance" numFmtId="0">
      <sharedItems/>
    </cacheField>
  </cacheFields>
  <extLst>
    <ext xmlns:x14="http://schemas.microsoft.com/office/spreadsheetml/2009/9/main" uri="{725AE2AE-9491-48be-B2B4-4EB974FC3084}">
      <x14:pivotCacheDefinition pivotCacheId="19427888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chanran" refreshedDate="46183.626721875" createdVersion="8" refreshedVersion="8" minRefreshableVersion="3" recordCount="500" xr:uid="{1839DFE4-F9B9-4B0C-9C5E-8184B9E6469D}">
  <cacheSource type="worksheet">
    <worksheetSource name="Table1"/>
  </cacheSource>
  <cacheFields count="23">
    <cacheField name="Order_ID" numFmtId="0">
      <sharedItems/>
    </cacheField>
    <cacheField name="Order_Date" numFmtId="164">
      <sharedItems containsSemiMixedTypes="0" containsNonDate="0" containsDate="1" containsString="0" minDate="2023-01-01T00:00:00" maxDate="2024-06-30T00:00:00"/>
    </cacheField>
    <cacheField name="Customer_ID" numFmtId="0">
      <sharedItems/>
    </cacheField>
    <cacheField name="Customer_Name" numFmtId="0">
      <sharedItems/>
    </cacheField>
    <cacheField name="City" numFmtId="0">
      <sharedItems count="24">
        <s v="Namakkal"/>
        <s v="Hosur"/>
        <s v="Tirunelveli"/>
        <s v="Trichy"/>
        <s v="Hyderabad"/>
        <s v="Sivakasi"/>
        <s v="Delhi"/>
        <s v="Nagercoil"/>
        <s v="Vellore"/>
        <s v="Dindigul"/>
        <s v="Madurai"/>
        <s v="Salem"/>
        <s v="Thanjavur"/>
        <s v="Coimbatore"/>
        <s v="Pune"/>
        <s v="Kumbakonam"/>
        <s v="Cuddalore"/>
        <s v="Kochi"/>
        <s v="Tiruppur"/>
        <s v="Mumbai"/>
        <s v="Chennai"/>
        <s v="Bangalore"/>
        <s v="Erode"/>
        <s v="Karur"/>
      </sharedItems>
    </cacheField>
    <cacheField name="State" numFmtId="0">
      <sharedItems/>
    </cacheField>
    <cacheField name="Category" numFmtId="0">
      <sharedItems count="8">
        <s v="Sports &amp; Fitness"/>
        <s v="Beauty &amp; Personal"/>
        <s v="Toys &amp; Baby"/>
        <s v="Grocery"/>
        <s v="Clothing"/>
        <s v="Electronics"/>
        <s v="Home &amp; Kitchen"/>
        <s v="Books &amp; Stationery"/>
      </sharedItems>
    </cacheField>
    <cacheField name="Product_Name" numFmtId="0">
      <sharedItems/>
    </cacheField>
    <cacheField name="Quantity" numFmtId="0">
      <sharedItems containsSemiMixedTypes="0" containsString="0" containsNumber="1" containsInteger="1" minValue="1" maxValue="4"/>
    </cacheField>
    <cacheField name="Unit_Price" numFmtId="0">
      <sharedItems containsSemiMixedTypes="0" containsString="0" containsNumber="1" containsInteger="1" minValue="40" maxValue="45000"/>
    </cacheField>
    <cacheField name="Discount_Pct" numFmtId="0">
      <sharedItems containsSemiMixedTypes="0" containsString="0" containsNumber="1" containsInteger="1" minValue="0" maxValue="20"/>
    </cacheField>
    <cacheField name="Final_Price" numFmtId="0">
      <sharedItems containsSemiMixedTypes="0" containsString="0" containsNumber="1" minValue="36" maxValue="180000"/>
    </cacheField>
    <cacheField name="Payment_Mode" numFmtId="0">
      <sharedItems count="6">
        <s v="Debit Card"/>
        <s v="Cash on Delivery"/>
        <s v="UPI"/>
        <s v="Net Banking"/>
        <s v="Wallet"/>
        <s v="Credit Card"/>
      </sharedItems>
    </cacheField>
    <cacheField name="Order_Status" numFmtId="0">
      <sharedItems/>
    </cacheField>
    <cacheField name="Delivery_Days" numFmtId="0">
      <sharedItems containsSemiMixedTypes="0" containsString="0" containsNumber="1" containsInteger="1" minValue="0" maxValue="10"/>
    </cacheField>
    <cacheField name="Total_Amount_Before_Discount" numFmtId="0">
      <sharedItems containsSemiMixedTypes="0" containsString="0" containsNumber="1" containsInteger="1" minValue="40" maxValue="180000"/>
    </cacheField>
    <cacheField name="Discount_Amount" numFmtId="0">
      <sharedItems containsSemiMixedTypes="0" containsString="0" containsNumber="1" minValue="0" maxValue="13500"/>
    </cacheField>
    <cacheField name="Profit_Estimate" numFmtId="0">
      <sharedItems containsSemiMixedTypes="0" containsString="0" containsNumber="1" minValue="7.2" maxValue="36000"/>
    </cacheField>
    <cacheField name="Order_Month" numFmtId="0">
      <sharedItems/>
    </cacheField>
    <cacheField name="Order_Year" numFmtId="0">
      <sharedItems containsSemiMixedTypes="0" containsString="0" containsNumber="1" containsInteger="1" minValue="2023" maxValue="2024"/>
    </cacheField>
    <cacheField name="Delivery_Status" numFmtId="0">
      <sharedItems/>
    </cacheField>
    <cacheField name="Revenue_Band" numFmtId="0">
      <sharedItems/>
    </cacheField>
    <cacheField name="Weekend_Order" numFmtId="0">
      <sharedItems/>
    </cacheField>
  </cacheFields>
  <extLst>
    <ext xmlns:x14="http://schemas.microsoft.com/office/spreadsheetml/2009/9/main" uri="{725AE2AE-9491-48be-B2B4-4EB974FC3084}">
      <x14:pivotCacheDefinition pivotCacheId="34416536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chanran" refreshedDate="46183.634285069442" createdVersion="8" refreshedVersion="8" minRefreshableVersion="3" recordCount="100" xr:uid="{F69B9F88-E984-46EA-B55E-417C71C4EE4D}">
  <cacheSource type="worksheet">
    <worksheetSource name="Table2"/>
  </cacheSource>
  <cacheFields count="18">
    <cacheField name="Customer_ID" numFmtId="0">
      <sharedItems/>
    </cacheField>
    <cacheField name="Customer_Name" numFmtId="0">
      <sharedItems/>
    </cacheField>
    <cacheField name="Age" numFmtId="0">
      <sharedItems containsSemiMixedTypes="0" containsString="0" containsNumber="1" containsInteger="1" minValue="20" maxValue="58" count="37">
        <n v="52"/>
        <n v="41"/>
        <n v="31"/>
        <n v="29"/>
        <n v="54"/>
        <n v="24"/>
        <n v="42"/>
        <n v="23"/>
        <n v="33"/>
        <n v="51"/>
        <n v="32"/>
        <n v="28"/>
        <n v="44"/>
        <n v="37"/>
        <n v="45"/>
        <n v="47"/>
        <n v="40"/>
        <n v="39"/>
        <n v="38"/>
        <n v="27"/>
        <n v="35"/>
        <n v="50"/>
        <n v="53"/>
        <n v="36"/>
        <n v="20"/>
        <n v="21"/>
        <n v="58"/>
        <n v="22"/>
        <n v="48"/>
        <n v="26"/>
        <n v="25"/>
        <n v="57"/>
        <n v="49"/>
        <n v="43"/>
        <n v="30"/>
        <n v="55"/>
        <n v="56"/>
      </sharedItems>
    </cacheField>
    <cacheField name="Gender" numFmtId="0">
      <sharedItems/>
    </cacheField>
    <cacheField name="City" numFmtId="0">
      <sharedItems/>
    </cacheField>
    <cacheField name="State" numFmtId="0">
      <sharedItems/>
    </cacheField>
    <cacheField name="Email" numFmtId="0">
      <sharedItems/>
    </cacheField>
    <cacheField name="Phone" numFmtId="0">
      <sharedItems/>
    </cacheField>
    <cacheField name="Signup_Date" numFmtId="164">
      <sharedItems containsSemiMixedTypes="0" containsNonDate="0" containsDate="1" containsString="0" minDate="2022-01-07T00:00:00" maxDate="2023-01-01T00:00:00"/>
    </cacheField>
    <cacheField name="Membership_Type" numFmtId="0">
      <sharedItems/>
    </cacheField>
    <cacheField name="Total_Orders" numFmtId="0">
      <sharedItems containsSemiMixedTypes="0" containsString="0" containsNumber="1" containsInteger="1" minValue="0" maxValue="11"/>
    </cacheField>
    <cacheField name="Total_Spent" numFmtId="0">
      <sharedItems containsSemiMixedTypes="0" containsString="0" containsNumber="1" minValue="0" maxValue="217699"/>
    </cacheField>
    <cacheField name="Age_Group" numFmtId="0">
      <sharedItems count="3">
        <s v="Senoir"/>
        <s v="Adult"/>
        <s v="Young"/>
      </sharedItems>
    </cacheField>
    <cacheField name="Avg_Order_Value" numFmtId="0">
      <sharedItems containsMixedTypes="1" containsNumber="1" minValue="441" maxValue="60932.5"/>
    </cacheField>
    <cacheField name="Customer_Level" numFmtId="0">
      <sharedItems count="2">
        <s v="Regular"/>
        <s v="Premium"/>
      </sharedItems>
    </cacheField>
    <cacheField name="Membership_Duration" numFmtId="0">
      <sharedItems containsSemiMixedTypes="0" containsString="0" containsNumber="1" containsInteger="1" minValue="41" maxValue="53"/>
    </cacheField>
    <cacheField name="Spending_Category" numFmtId="0">
      <sharedItems/>
    </cacheField>
    <cacheField name="Customer_Statu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chanran" refreshedDate="46183.648563425922" createdVersion="8" refreshedVersion="8" minRefreshableVersion="3" recordCount="80" xr:uid="{21FFCB23-482A-4873-B860-6BC10B316B29}">
  <cacheSource type="worksheet">
    <worksheetSource name="Table3"/>
  </cacheSource>
  <cacheFields count="15">
    <cacheField name="Product_ID" numFmtId="0">
      <sharedItems/>
    </cacheField>
    <cacheField name="Product_Name" numFmtId="0">
      <sharedItems count="80">
        <s v="Laptop"/>
        <s v="Smart TV"/>
        <s v="Smartphone"/>
        <s v="Bluetooth Speaker"/>
        <s v="Wireless Headphones"/>
        <s v="Tablet"/>
        <s v="Smart Watch"/>
        <s v="Webcam"/>
        <s v="Portable Charger"/>
        <s v="USB Hub"/>
        <s v="Men's Formal Shirt"/>
        <s v="Women's Kurti"/>
        <s v="Denim Jeans"/>
        <s v="Ethnic Saree"/>
        <s v="Winter Jacket"/>
        <s v="Sports T-Shirt"/>
        <s v="Formal Trousers"/>
        <s v="Casual Dress"/>
        <s v="Leggings"/>
        <s v="Polo T-Shirt"/>
        <s v="Basmati Rice 5kg"/>
        <s v="Sunflower Oil 1L"/>
        <s v="Whole Wheat Atta 10kg"/>
        <s v="Toor Dal 1kg"/>
        <s v="Sugar 1kg"/>
        <s v="Biscuits Pack"/>
        <s v="Instant Coffee 100g"/>
        <s v="Green Tea 25bags"/>
        <s v="Almonds 250g"/>
        <s v="Honey 500g"/>
        <s v="Mixer Grinder"/>
        <s v="Pressure Cooker 5L"/>
        <s v="Non-Stick Pan"/>
        <s v="Water Purifier RO"/>
        <s v="Dinner Set 24pcs"/>
        <s v="Induction Cooktop"/>
        <s v="Air Fryer"/>
        <s v="Steel Water Bottle"/>
        <s v="Chopping Board"/>
        <s v="Knife Set"/>
        <s v="Cricket Bat Kashmir Willow"/>
        <s v="Football Size5"/>
        <s v="Yoga Mat 6mm"/>
        <s v="Badminton Racket"/>
        <s v="Dumbbell Pair 5kg"/>
        <s v="Resistance Bands Set"/>
        <s v="Cycling Helmet"/>
        <s v="Skipping Rope"/>
        <s v="Sports Shoes"/>
        <s v="Gym Gloves"/>
        <s v="Face Wash 100ml"/>
        <s v="Sunscreen SPF50"/>
        <s v="Shampoo 400ml"/>
        <s v="Hair Oil 200ml"/>
        <s v="Lipstick"/>
        <s v="Foundation"/>
        <s v="Face Serum"/>
        <s v="Body Lotion 400ml"/>
        <s v="Perfume 100ml"/>
        <s v="Moisturizer 50g"/>
        <s v="Data Science Handbook"/>
        <s v="Python Programming"/>
        <s v="Business Analytics"/>
        <s v="SQL Mastery"/>
        <s v="Leadership Mindset"/>
        <s v="A4 Notebooks Pack5"/>
        <s v="Gel Pens Pack10"/>
        <s v="Scientific Calculator"/>
        <s v="Sticky Notes 400pcs"/>
        <s v="Highlighters Set"/>
        <s v="LEGO Classic Set"/>
        <s v="Remote Control Car"/>
        <s v="Barbie Doll"/>
        <s v="Jigsaw Puzzle 500pcs"/>
        <s v="Board Game Monopoly"/>
        <s v="Baby Walker"/>
        <s v="Soft Toy Bear"/>
        <s v="Play-Doh Set"/>
        <s v="Wooden Blocks"/>
        <s v="Kids Drawing Kit"/>
      </sharedItems>
    </cacheField>
    <cacheField name="Category" numFmtId="0">
      <sharedItems count="8">
        <s v="Electronics"/>
        <s v="Clothing"/>
        <s v="Grocery"/>
        <s v="Home &amp; Kitchen"/>
        <s v="Sports &amp; Fitness"/>
        <s v="Beauty &amp; Personal"/>
        <s v="Books &amp; Stationery"/>
        <s v="Toys &amp; Baby"/>
      </sharedItems>
    </cacheField>
    <cacheField name="MRP" numFmtId="0">
      <sharedItems containsSemiMixedTypes="0" containsString="0" containsNumber="1" containsInteger="1" minValue="40" maxValue="45000"/>
    </cacheField>
    <cacheField name="Cost_Price" numFmtId="0">
      <sharedItems containsSemiMixedTypes="0" containsString="0" containsNumber="1" minValue="22.71" maxValue="26654.98"/>
    </cacheField>
    <cacheField name="Profit_Margin_Pct" numFmtId="0">
      <sharedItems containsSemiMixedTypes="0" containsString="0" containsNumber="1" minValue="28.2" maxValue="49.7"/>
    </cacheField>
    <cacheField name="Brand" numFmtId="0">
      <sharedItems/>
    </cacheField>
    <cacheField name="Rating" numFmtId="0">
      <sharedItems containsSemiMixedTypes="0" containsString="0" containsNumber="1" minValue="3.2" maxValue="4.9000000000000004"/>
    </cacheField>
    <cacheField name="Stock_Available" numFmtId="0">
      <sharedItems containsSemiMixedTypes="0" containsString="0" containsNumber="1" containsInteger="1" minValue="22" maxValue="500"/>
    </cacheField>
    <cacheField name="Reorder_Level" numFmtId="0">
      <sharedItems containsSemiMixedTypes="0" containsString="0" containsNumber="1" containsInteger="1" minValue="21" maxValue="80"/>
    </cacheField>
    <cacheField name="Profit_Per_Unit" numFmtId="0">
      <sharedItems containsSemiMixedTypes="0" containsString="0" containsNumber="1" minValue="17.29" maxValue="18345.02"/>
    </cacheField>
    <cacheField name="Inventory_Value" numFmtId="0">
      <sharedItems containsSemiMixedTypes="0" containsString="0" containsNumber="1" containsInteger="1" minValue="5355" maxValue="13804000" count="80">
        <n v="11385000"/>
        <n v="13804000"/>
        <n v="756000"/>
        <n v="360000"/>
        <n v="822500"/>
        <n v="8734000"/>
        <n v="3936000"/>
        <n v="523600"/>
        <n v="565200"/>
        <n v="360900"/>
        <n v="142800"/>
        <n v="311950"/>
        <n v="368000"/>
        <n v="492800"/>
        <n v="658000"/>
        <n v="20271"/>
        <n v="365400"/>
        <n v="432300"/>
        <n v="141217"/>
        <n v="334781"/>
        <n v="40320"/>
        <n v="14240"/>
        <n v="22050"/>
        <n v="9490"/>
        <n v="22990"/>
        <n v="13640"/>
        <n v="71500"/>
        <n v="38340"/>
        <n v="140000"/>
        <n v="168700"/>
        <n v="1246000"/>
        <n v="652500"/>
        <n v="239700"/>
        <n v="2869000"/>
        <n v="275400"/>
        <n v="730400"/>
        <n v="1602000"/>
        <n v="145950"/>
        <n v="62440"/>
        <n v="96850"/>
        <n v="84600"/>
        <n v="397600"/>
        <n v="167050"/>
        <n v="382850"/>
        <n v="194400"/>
        <n v="161550"/>
        <n v="467500"/>
        <n v="75250"/>
        <n v="800800"/>
        <n v="145750"/>
        <n v="72540"/>
        <n v="80320"/>
        <n v="37620"/>
        <n v="20440"/>
        <n v="15400"/>
        <n v="312650"/>
        <n v="257210"/>
        <n v="91780"/>
        <n v="102000"/>
        <n v="120080"/>
        <n v="13178"/>
        <n v="61513"/>
        <n v="131560"/>
        <n v="49020"/>
        <n v="130900"/>
        <n v="98120"/>
        <n v="5355"/>
        <n v="309000"/>
        <n v="50760"/>
        <n v="19980"/>
        <n v="408600"/>
        <n v="117600"/>
        <n v="323000"/>
        <n v="198000"/>
        <n v="46400"/>
        <n v="1003200"/>
        <n v="143150"/>
        <n v="121240"/>
        <n v="183160"/>
        <n v="71040"/>
      </sharedItems>
    </cacheField>
    <cacheField name="Stock_Status" numFmtId="0">
      <sharedItems count="2">
        <s v="Sufficient"/>
        <s v="Reorderd Needed"/>
      </sharedItems>
    </cacheField>
    <cacheField name="Rating_Category" numFmtId="0">
      <sharedItems/>
    </cacheField>
    <cacheField name="Expected_Profit" numFmtId="0">
      <sharedItems containsSemiMixedTypes="0" containsString="0" containsNumber="1" minValue="2273.67" maxValue="4846786.5299999993"/>
    </cacheField>
  </cacheFields>
  <extLst>
    <ext xmlns:x14="http://schemas.microsoft.com/office/spreadsheetml/2009/9/main" uri="{725AE2AE-9491-48be-B2B4-4EB974FC3084}">
      <x14:pivotCacheDefinition pivotCacheId="23384780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chanran" refreshedDate="46183.764461689818" createdVersion="8" refreshedVersion="8" minRefreshableVersion="3" recordCount="3" xr:uid="{A7C5F4C6-B40B-4AB2-8879-C0EA200BC052}">
  <cacheSource type="worksheet">
    <worksheetSource ref="Y6:Z9" sheet="Sales_Data"/>
  </cacheSource>
  <cacheFields count="3">
    <cacheField name="Total Customers " numFmtId="0">
      <sharedItems/>
    </cacheField>
    <cacheField name="Field2" caption="Field2" numFmtId="0">
      <sharedItems containsNonDate="0" containsString="0" containsBlank="1" count="1">
        <m/>
      </sharedItems>
    </cacheField>
    <cacheField name="500" numFmtId="0">
      <sharedItems containsSemiMixedTypes="0" containsString="0" containsNumber="1" containsInteger="1" minValue="57" maxValue="3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n v="2023"/>
    <s v="Jan-2023"/>
    <n v="48"/>
    <n v="186983.24"/>
    <n v="3895.48"/>
    <s v="Books &amp; Stationery"/>
    <n v="25010.639999999999"/>
    <n v="5"/>
    <n v="14"/>
    <n v="10.416666666666668"/>
    <n v="29.166666666666668"/>
    <s v="Medium"/>
    <n v="13.375872618315951"/>
    <s v="Needs Improvement"/>
  </r>
  <r>
    <x v="1"/>
    <n v="2023"/>
    <s v="Feb-2023"/>
    <n v="40"/>
    <n v="184562.26"/>
    <n v="4614.0600000000004"/>
    <s v="Home &amp; Kitchen"/>
    <n v="12026.07"/>
    <n v="1"/>
    <n v="12"/>
    <n v="2.5"/>
    <n v="30"/>
    <s v="Medium"/>
    <n v="6.51599628223018"/>
    <s v="Good"/>
  </r>
  <r>
    <x v="2"/>
    <n v="2023"/>
    <s v="Mar-2023"/>
    <n v="43"/>
    <n v="215365.58"/>
    <n v="5008.5"/>
    <s v="Sports &amp; Fitness"/>
    <n v="23159.32"/>
    <n v="4"/>
    <n v="16"/>
    <n v="9.3023255813953494"/>
    <n v="37.209302325581397"/>
    <s v="High"/>
    <n v="10.753491806815184"/>
    <s v="Needs Improvement"/>
  </r>
  <r>
    <x v="3"/>
    <n v="2023"/>
    <s v="Apr-2023"/>
    <n v="33"/>
    <n v="181213.29"/>
    <n v="5491.31"/>
    <s v="Books &amp; Stationery"/>
    <n v="23373.58"/>
    <n v="9"/>
    <n v="15"/>
    <n v="27.27272727272727"/>
    <n v="45.454545454545453"/>
    <s v="Medium"/>
    <n v="12.898380687200151"/>
    <s v="Needs Improvement"/>
  </r>
  <r>
    <x v="4"/>
    <n v="2023"/>
    <s v="May-2023"/>
    <n v="43"/>
    <n v="218695.85"/>
    <n v="5085.95"/>
    <s v="Beauty &amp; Personal"/>
    <n v="19365.330000000002"/>
    <n v="7"/>
    <n v="8"/>
    <n v="16.279069767441861"/>
    <n v="18.604651162790699"/>
    <s v="High"/>
    <n v="8.8549142564890921"/>
    <s v="Needs Improvement"/>
  </r>
  <r>
    <x v="5"/>
    <n v="2023"/>
    <s v="Jun-2023"/>
    <n v="49"/>
    <n v="173829.62"/>
    <n v="3547.54"/>
    <s v="Home &amp; Kitchen"/>
    <n v="23603.78"/>
    <n v="2"/>
    <n v="4"/>
    <n v="4.0816326530612246"/>
    <n v="8.1632653061224492"/>
    <s v="Medium"/>
    <n v="13.578686992469983"/>
    <s v="Good"/>
  </r>
  <r>
    <x v="6"/>
    <n v="2023"/>
    <s v="Jul-2023"/>
    <n v="23"/>
    <n v="106168.54"/>
    <n v="4616.0200000000004"/>
    <s v="Books &amp; Stationery"/>
    <n v="9968.2999999999993"/>
    <n v="1"/>
    <n v="13"/>
    <n v="4.3478260869565215"/>
    <n v="56.521739130434781"/>
    <s v="Medium"/>
    <n v="9.3891278904278046"/>
    <s v="Good"/>
  </r>
  <r>
    <x v="7"/>
    <n v="2023"/>
    <s v="Aug-2023"/>
    <n v="32"/>
    <n v="93175.64"/>
    <n v="2911.74"/>
    <s v="Grocery"/>
    <n v="8577.94"/>
    <n v="10"/>
    <n v="11"/>
    <n v="31.25"/>
    <n v="34.375"/>
    <s v="Medium"/>
    <n v="9.2062045401566337"/>
    <s v="Needs Improvement"/>
  </r>
  <r>
    <x v="8"/>
    <n v="2023"/>
    <s v="Sep-2023"/>
    <n v="29"/>
    <n v="141963"/>
    <n v="4895.28"/>
    <s v="Books &amp; Stationery"/>
    <n v="18615.72"/>
    <n v="1"/>
    <n v="17"/>
    <n v="3.4482758620689653"/>
    <n v="58.620689655172406"/>
    <s v="Medium"/>
    <n v="13.113078759958583"/>
    <s v="Good"/>
  </r>
  <r>
    <x v="9"/>
    <n v="2023"/>
    <s v="Oct-2023"/>
    <n v="55"/>
    <n v="98595.17"/>
    <n v="1792.64"/>
    <s v="Grocery"/>
    <n v="7052.12"/>
    <n v="1"/>
    <n v="5"/>
    <n v="1.8181818181818181"/>
    <n v="9.0909090909090917"/>
    <s v="Medium"/>
    <n v="7.1526018972328966"/>
    <s v="Good"/>
  </r>
  <r>
    <x v="10"/>
    <n v="2023"/>
    <s v="Nov-2023"/>
    <n v="36"/>
    <n v="212952.58"/>
    <n v="5915.35"/>
    <s v="Electronics"/>
    <n v="24489.93"/>
    <n v="5"/>
    <n v="4"/>
    <n v="13.888888888888889"/>
    <n v="11.111111111111111"/>
    <s v="High"/>
    <n v="11.500179993123352"/>
    <s v="Needs Improvement"/>
  </r>
  <r>
    <x v="11"/>
    <n v="2023"/>
    <s v="Dec-2023"/>
    <n v="35"/>
    <n v="88890.14"/>
    <n v="2539.7199999999998"/>
    <s v="Sports &amp; Fitness"/>
    <n v="9866.0400000000009"/>
    <n v="10"/>
    <n v="12"/>
    <n v="28.571428571428569"/>
    <n v="34.285714285714285"/>
    <s v="Medium"/>
    <n v="11.099138779621679"/>
    <s v="Needs Improvement"/>
  </r>
  <r>
    <x v="0"/>
    <n v="2024"/>
    <s v="Jan-2024"/>
    <n v="52"/>
    <n v="195727.87"/>
    <n v="3764"/>
    <s v="Books &amp; Stationery"/>
    <n v="22825.85"/>
    <n v="10"/>
    <n v="4"/>
    <n v="19.230769230769234"/>
    <n v="7.6923076923076925"/>
    <s v="Medium"/>
    <n v="11.662033618411114"/>
    <s v="Needs Improvement"/>
  </r>
  <r>
    <x v="1"/>
    <n v="2024"/>
    <s v="Feb-2024"/>
    <n v="24"/>
    <n v="207087.29"/>
    <n v="8628.64"/>
    <s v="Beauty &amp; Personal"/>
    <n v="16754.330000000002"/>
    <n v="8"/>
    <n v="14"/>
    <n v="33.333333333333329"/>
    <n v="58.333333333333336"/>
    <s v="High"/>
    <n v="8.0904675511471531"/>
    <s v="Needs Improvement"/>
  </r>
  <r>
    <x v="2"/>
    <n v="2024"/>
    <s v="Mar-2024"/>
    <n v="42"/>
    <n v="121095.99"/>
    <n v="2883.24"/>
    <s v="Grocery"/>
    <n v="13575.97"/>
    <n v="9"/>
    <n v="18"/>
    <n v="21.428571428571427"/>
    <n v="42.857142857142854"/>
    <s v="Medium"/>
    <n v="11.210916232651469"/>
    <s v="Needs Improvement"/>
  </r>
  <r>
    <x v="3"/>
    <n v="2024"/>
    <s v="Apr-2024"/>
    <n v="44"/>
    <n v="68894.44"/>
    <n v="1565.78"/>
    <s v="Sports &amp; Fitness"/>
    <n v="4388.0600000000004"/>
    <n v="9"/>
    <n v="18"/>
    <n v="20.454545454545457"/>
    <n v="40.909090909090914"/>
    <s v="Medium"/>
    <n v="6.3692512777518768"/>
    <s v="Needs Improvement"/>
  </r>
  <r>
    <x v="4"/>
    <n v="2024"/>
    <s v="May-2024"/>
    <n v="45"/>
    <n v="74944.479999999996"/>
    <n v="1665.43"/>
    <s v="Electronics"/>
    <n v="7490.77"/>
    <n v="1"/>
    <n v="5"/>
    <n v="2.2222222222222223"/>
    <n v="11.111111111111111"/>
    <s v="Medium"/>
    <n v="9.9950923670429113"/>
    <s v="Good"/>
  </r>
  <r>
    <x v="5"/>
    <n v="2024"/>
    <s v="Jun-2024"/>
    <n v="54"/>
    <n v="192902.26"/>
    <n v="3572.26"/>
    <s v="Electronics"/>
    <n v="16865.55"/>
    <n v="10"/>
    <n v="6"/>
    <n v="18.518518518518519"/>
    <n v="11.111111111111111"/>
    <s v="Medium"/>
    <n v="8.7430546433204039"/>
    <s v="Needs Improvem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1"/>
    <d v="2023-10-26T00:00:00"/>
    <s v="CUST032"/>
    <s v="Indira Rangasamy"/>
    <x v="0"/>
    <s v="Tamil Nadu"/>
    <x v="0"/>
    <s v="Gym Gloves"/>
    <n v="3"/>
    <n v="550"/>
    <n v="15"/>
    <n v="1402.5"/>
    <x v="0"/>
    <s v="Cancelled"/>
    <n v="0"/>
    <n v="1650"/>
    <n v="247.5"/>
    <n v="280.5"/>
    <s v="Oct"/>
    <n v="2023"/>
    <s v="Fast"/>
    <s v="Normal"/>
    <s v="No"/>
  </r>
  <r>
    <s v="ORD0002"/>
    <d v="2023-10-16T00:00:00"/>
    <s v="CUST051"/>
    <s v="Bhavana Gopal"/>
    <x v="1"/>
    <s v="Tamil Nadu"/>
    <x v="1"/>
    <s v="Perfume 100ml"/>
    <n v="2"/>
    <n v="1200"/>
    <n v="5"/>
    <n v="2280"/>
    <x v="1"/>
    <s v="Returned"/>
    <n v="2"/>
    <n v="2400"/>
    <n v="120"/>
    <n v="456"/>
    <s v="Oct"/>
    <n v="2023"/>
    <s v="Fast"/>
    <s v="Normal"/>
    <s v="No"/>
  </r>
  <r>
    <s v="ORD0003"/>
    <d v="2024-04-23T00:00:00"/>
    <s v="CUST054"/>
    <s v="Tamilarasi Murugan"/>
    <x v="2"/>
    <s v="Tamil Nadu"/>
    <x v="0"/>
    <s v="Dumbbell Pair 5kg"/>
    <n v="2"/>
    <n v="1200"/>
    <n v="15"/>
    <n v="2040"/>
    <x v="0"/>
    <s v="Delivered"/>
    <n v="5"/>
    <n v="2400"/>
    <n v="360"/>
    <n v="408"/>
    <s v="Apr"/>
    <n v="2024"/>
    <s v="Delayed"/>
    <s v="Normal"/>
    <s v="No"/>
  </r>
  <r>
    <s v="ORD0004"/>
    <d v="2023-08-03T00:00:00"/>
    <s v="CUST049"/>
    <s v="Oviya Babu"/>
    <x v="3"/>
    <s v="Tamil Nadu"/>
    <x v="0"/>
    <s v="Cycling Helmet"/>
    <n v="2"/>
    <n v="1100"/>
    <n v="10"/>
    <n v="1980"/>
    <x v="2"/>
    <s v="Delivered"/>
    <n v="2"/>
    <n v="2200"/>
    <n v="220"/>
    <n v="396"/>
    <s v="Aug"/>
    <n v="2023"/>
    <s v="Fast"/>
    <s v="Normal"/>
    <s v="No"/>
  </r>
  <r>
    <s v="ORD0005"/>
    <d v="2023-08-14T00:00:00"/>
    <s v="CUST065"/>
    <s v="Lavanya Velayutham"/>
    <x v="1"/>
    <s v="Tamil Nadu"/>
    <x v="2"/>
    <s v="Kids Drawing Kit"/>
    <n v="3"/>
    <n v="320"/>
    <n v="5"/>
    <n v="912"/>
    <x v="2"/>
    <s v="Cancelled"/>
    <n v="0"/>
    <n v="960"/>
    <n v="48"/>
    <n v="182.4"/>
    <s v="Aug"/>
    <n v="2023"/>
    <s v="Fast"/>
    <s v="Normal"/>
    <s v="No"/>
  </r>
  <r>
    <s v="ORD0006"/>
    <d v="2023-10-16T00:00:00"/>
    <s v="CUST095"/>
    <s v="Vanitha Natarajan"/>
    <x v="4"/>
    <s v="Telangana"/>
    <x v="3"/>
    <s v="Green Tea 25bags"/>
    <n v="3"/>
    <n v="180"/>
    <n v="0"/>
    <n v="540"/>
    <x v="0"/>
    <s v="Cancelled"/>
    <n v="0"/>
    <n v="540"/>
    <n v="0"/>
    <n v="108"/>
    <s v="Oct"/>
    <n v="2023"/>
    <s v="Fast"/>
    <s v="Normal"/>
    <s v="No"/>
  </r>
  <r>
    <s v="ORD0007"/>
    <d v="2023-03-07T00:00:00"/>
    <s v="CUST089"/>
    <s v="Arjun Devi"/>
    <x v="0"/>
    <s v="Tamil Nadu"/>
    <x v="3"/>
    <s v="Sunflower Oil 1L"/>
    <n v="4"/>
    <n v="160"/>
    <n v="10"/>
    <n v="576"/>
    <x v="2"/>
    <s v="Delivered"/>
    <n v="10"/>
    <n v="640"/>
    <n v="64"/>
    <n v="115.2"/>
    <s v="Mar"/>
    <n v="2023"/>
    <s v="Delayed"/>
    <s v="Normal"/>
    <s v="No"/>
  </r>
  <r>
    <s v="ORD0008"/>
    <d v="2023-02-03T00:00:00"/>
    <s v="CUST033"/>
    <s v="Anita Pillai"/>
    <x v="2"/>
    <s v="Tamil Nadu"/>
    <x v="0"/>
    <s v="Sports Shoes"/>
    <n v="2"/>
    <n v="2800"/>
    <n v="10"/>
    <n v="5040"/>
    <x v="2"/>
    <s v="Pending"/>
    <n v="3"/>
    <n v="5600"/>
    <n v="560"/>
    <n v="1008"/>
    <s v="Feb"/>
    <n v="2023"/>
    <s v="Fast"/>
    <s v="High Value"/>
    <s v="No"/>
  </r>
  <r>
    <s v="ORD0009"/>
    <d v="2024-04-18T00:00:00"/>
    <s v="CUST009"/>
    <s v="Anjali Gopal"/>
    <x v="5"/>
    <s v="Tamil Nadu"/>
    <x v="4"/>
    <s v="Women's Kurti"/>
    <n v="3"/>
    <n v="850"/>
    <n v="0"/>
    <n v="2550"/>
    <x v="3"/>
    <s v="Delivered"/>
    <n v="4"/>
    <n v="2550"/>
    <n v="0"/>
    <n v="510"/>
    <s v="Apr"/>
    <n v="2024"/>
    <s v="Delayed"/>
    <s v="Normal"/>
    <s v="No"/>
  </r>
  <r>
    <s v="ORD0010"/>
    <d v="2023-08-29T00:00:00"/>
    <s v="CUST097"/>
    <s v="Aarav Ramasamy"/>
    <x v="3"/>
    <s v="Tamil Nadu"/>
    <x v="3"/>
    <s v="Sugar 1kg"/>
    <n v="2"/>
    <n v="55"/>
    <n v="10"/>
    <n v="99"/>
    <x v="3"/>
    <s v="Delivered"/>
    <n v="6"/>
    <n v="110"/>
    <n v="11"/>
    <n v="19.8"/>
    <s v="Aug"/>
    <n v="2023"/>
    <s v="Delayed"/>
    <s v="Normal"/>
    <s v="No"/>
  </r>
  <r>
    <s v="ORD0011"/>
    <d v="2023-12-03T00:00:00"/>
    <s v="CUST053"/>
    <s v="Gayatri Chandran"/>
    <x v="6"/>
    <s v="Delhi"/>
    <x v="1"/>
    <s v="Perfume 100ml"/>
    <n v="2"/>
    <n v="1200"/>
    <n v="0"/>
    <n v="2400"/>
    <x v="0"/>
    <s v="Cancelled"/>
    <n v="0"/>
    <n v="2400"/>
    <n v="0"/>
    <n v="480"/>
    <s v="Dec"/>
    <n v="2023"/>
    <s v="Fast"/>
    <s v="Normal"/>
    <s v="Yes"/>
  </r>
  <r>
    <s v="ORD0012"/>
    <d v="2023-10-01T00:00:00"/>
    <s v="CUST018"/>
    <s v="Rajesh Balakrishnan"/>
    <x v="7"/>
    <s v="Tamil Nadu"/>
    <x v="3"/>
    <s v="Almonds 250g"/>
    <n v="3"/>
    <n v="280"/>
    <n v="5"/>
    <n v="798"/>
    <x v="1"/>
    <s v="Delivered"/>
    <n v="7"/>
    <n v="840"/>
    <n v="42"/>
    <n v="159.60000000000002"/>
    <s v="Oct"/>
    <n v="2023"/>
    <s v="Delayed"/>
    <s v="Normal"/>
    <s v="Yes"/>
  </r>
  <r>
    <s v="ORD0013"/>
    <d v="2023-07-15T00:00:00"/>
    <s v="CUST095"/>
    <s v="Vanitha Natarajan"/>
    <x v="4"/>
    <s v="Telangana"/>
    <x v="3"/>
    <s v="Whole Wheat Atta 10kg"/>
    <n v="2"/>
    <n v="450"/>
    <n v="5"/>
    <n v="855"/>
    <x v="2"/>
    <s v="Delivered"/>
    <n v="7"/>
    <n v="900"/>
    <n v="45"/>
    <n v="171"/>
    <s v="Jul"/>
    <n v="2023"/>
    <s v="Delayed"/>
    <s v="Normal"/>
    <s v="Yes"/>
  </r>
  <r>
    <s v="ORD0014"/>
    <d v="2024-03-06T00:00:00"/>
    <s v="CUST068"/>
    <s v="Vanitha Iyer"/>
    <x v="8"/>
    <s v="Tamil Nadu"/>
    <x v="5"/>
    <s v="Webcam"/>
    <n v="2"/>
    <n v="2200"/>
    <n v="5"/>
    <n v="4180"/>
    <x v="3"/>
    <s v="Pending"/>
    <n v="3"/>
    <n v="4400"/>
    <n v="220"/>
    <n v="836"/>
    <s v="Mar"/>
    <n v="2024"/>
    <s v="Fast"/>
    <s v="Normal"/>
    <s v="No"/>
  </r>
  <r>
    <s v="ORD0015"/>
    <d v="2024-05-08T00:00:00"/>
    <s v="CUST038"/>
    <s v="Rohini Prabhu"/>
    <x v="6"/>
    <s v="Delhi"/>
    <x v="2"/>
    <s v="Wooden Blocks"/>
    <n v="1"/>
    <n v="380"/>
    <n v="5"/>
    <n v="361"/>
    <x v="2"/>
    <s v="Pending"/>
    <n v="3"/>
    <n v="380"/>
    <n v="19"/>
    <n v="72.2"/>
    <s v="May"/>
    <n v="2024"/>
    <s v="Fast"/>
    <s v="Normal"/>
    <s v="No"/>
  </r>
  <r>
    <s v="ORD0016"/>
    <d v="2024-05-12T00:00:00"/>
    <s v="CUST065"/>
    <s v="Lavanya Velayutham"/>
    <x v="1"/>
    <s v="Tamil Nadu"/>
    <x v="1"/>
    <s v="Shampoo 400ml"/>
    <n v="1"/>
    <n v="220"/>
    <n v="20"/>
    <n v="176"/>
    <x v="3"/>
    <s v="Delivered"/>
    <n v="4"/>
    <n v="220"/>
    <n v="44"/>
    <n v="35.200000000000003"/>
    <s v="May"/>
    <n v="2024"/>
    <s v="Delayed"/>
    <s v="Normal"/>
    <s v="Yes"/>
  </r>
  <r>
    <s v="ORD0017"/>
    <d v="2024-03-26T00:00:00"/>
    <s v="CUST024"/>
    <s v="Ashwini Venkatesh"/>
    <x v="1"/>
    <s v="Tamil Nadu"/>
    <x v="2"/>
    <s v="Baby Walker"/>
    <n v="1"/>
    <n v="2200"/>
    <n v="0"/>
    <n v="2200"/>
    <x v="3"/>
    <s v="Cancelled"/>
    <n v="0"/>
    <n v="2200"/>
    <n v="0"/>
    <n v="440"/>
    <s v="Mar"/>
    <n v="2024"/>
    <s v="Fast"/>
    <s v="Normal"/>
    <s v="No"/>
  </r>
  <r>
    <s v="ORD0018"/>
    <d v="2023-10-16T00:00:00"/>
    <s v="CUST007"/>
    <s v="Vijay Gopal"/>
    <x v="9"/>
    <s v="Tamil Nadu"/>
    <x v="4"/>
    <s v="Women's Kurti"/>
    <n v="4"/>
    <n v="850"/>
    <n v="15"/>
    <n v="2890"/>
    <x v="4"/>
    <s v="Delivered"/>
    <n v="6"/>
    <n v="3400"/>
    <n v="510"/>
    <n v="578"/>
    <s v="Oct"/>
    <n v="2023"/>
    <s v="Delayed"/>
    <s v="Normal"/>
    <s v="No"/>
  </r>
  <r>
    <s v="ORD0019"/>
    <d v="2024-06-09T00:00:00"/>
    <s v="CUST084"/>
    <s v="Pooja Velayutham"/>
    <x v="4"/>
    <s v="Telangana"/>
    <x v="0"/>
    <s v="Skipping Rope"/>
    <n v="3"/>
    <n v="250"/>
    <n v="0"/>
    <n v="750"/>
    <x v="0"/>
    <s v="Pending"/>
    <n v="2"/>
    <n v="750"/>
    <n v="0"/>
    <n v="150"/>
    <s v="Jun"/>
    <n v="2024"/>
    <s v="Fast"/>
    <s v="Normal"/>
    <s v="Yes"/>
  </r>
  <r>
    <s v="ORD0020"/>
    <d v="2023-11-18T00:00:00"/>
    <s v="CUST040"/>
    <s v="Rajesh Pandian"/>
    <x v="10"/>
    <s v="Tamil Nadu"/>
    <x v="0"/>
    <s v="Resistance Bands Set"/>
    <n v="1"/>
    <n v="450"/>
    <n v="0"/>
    <n v="450"/>
    <x v="0"/>
    <s v="Delivered"/>
    <n v="6"/>
    <n v="450"/>
    <n v="0"/>
    <n v="90"/>
    <s v="Nov"/>
    <n v="2023"/>
    <s v="Delayed"/>
    <s v="Normal"/>
    <s v="Yes"/>
  </r>
  <r>
    <s v="ORD0021"/>
    <d v="2023-06-04T00:00:00"/>
    <s v="CUST045"/>
    <s v="Harish Thangavel"/>
    <x v="2"/>
    <s v="Tamil Nadu"/>
    <x v="5"/>
    <s v="Tablet"/>
    <n v="1"/>
    <n v="22000"/>
    <n v="10"/>
    <n v="19800"/>
    <x v="3"/>
    <s v="Delivered"/>
    <n v="3"/>
    <n v="22000"/>
    <n v="2200"/>
    <n v="3960"/>
    <s v="Jun"/>
    <n v="2023"/>
    <s v="Fast"/>
    <s v="High Value"/>
    <s v="Yes"/>
  </r>
  <r>
    <s v="ORD0022"/>
    <d v="2024-04-09T00:00:00"/>
    <s v="CUST037"/>
    <s v="Manoj Chandran"/>
    <x v="5"/>
    <s v="Tamil Nadu"/>
    <x v="5"/>
    <s v="Smartphone"/>
    <n v="1"/>
    <n v="18000"/>
    <n v="15"/>
    <n v="15300"/>
    <x v="0"/>
    <s v="Cancelled"/>
    <n v="0"/>
    <n v="18000"/>
    <n v="2700"/>
    <n v="3060"/>
    <s v="Apr"/>
    <n v="2024"/>
    <s v="Fast"/>
    <s v="High Value"/>
    <s v="No"/>
  </r>
  <r>
    <s v="ORD0023"/>
    <d v="2024-02-27T00:00:00"/>
    <s v="CUST007"/>
    <s v="Vijay Gopal"/>
    <x v="9"/>
    <s v="Tamil Nadu"/>
    <x v="6"/>
    <s v="Non-Stick Pan"/>
    <n v="2"/>
    <n v="850"/>
    <n v="10"/>
    <n v="1530"/>
    <x v="2"/>
    <s v="Returned"/>
    <n v="4"/>
    <n v="1700"/>
    <n v="170"/>
    <n v="306"/>
    <s v="Feb"/>
    <n v="2024"/>
    <s v="Delayed"/>
    <s v="Normal"/>
    <s v="No"/>
  </r>
  <r>
    <s v="ORD0024"/>
    <d v="2023-05-08T00:00:00"/>
    <s v="CUST032"/>
    <s v="Indira Rangasamy"/>
    <x v="0"/>
    <s v="Tamil Nadu"/>
    <x v="1"/>
    <s v="Moisturizer 50g"/>
    <n v="4"/>
    <n v="380"/>
    <n v="10"/>
    <n v="1368"/>
    <x v="2"/>
    <s v="Cancelled"/>
    <n v="0"/>
    <n v="1520"/>
    <n v="152"/>
    <n v="273.60000000000002"/>
    <s v="May"/>
    <n v="2023"/>
    <s v="Fast"/>
    <s v="Normal"/>
    <s v="No"/>
  </r>
  <r>
    <s v="ORD0025"/>
    <d v="2024-03-28T00:00:00"/>
    <s v="CUST092"/>
    <s v="Sridhar Narayanan"/>
    <x v="11"/>
    <s v="Tamil Nadu"/>
    <x v="6"/>
    <s v="Non-Stick Pan"/>
    <n v="1"/>
    <n v="850"/>
    <n v="20"/>
    <n v="680"/>
    <x v="4"/>
    <s v="Cancelled"/>
    <n v="0"/>
    <n v="850"/>
    <n v="170"/>
    <n v="136"/>
    <s v="Mar"/>
    <n v="2024"/>
    <s v="Fast"/>
    <s v="Normal"/>
    <s v="No"/>
  </r>
  <r>
    <s v="ORD0026"/>
    <d v="2024-02-10T00:00:00"/>
    <s v="CUST064"/>
    <s v="Gopal Palanisamy"/>
    <x v="12"/>
    <s v="Tamil Nadu"/>
    <x v="2"/>
    <s v="Play-Doh Set"/>
    <n v="2"/>
    <n v="280"/>
    <n v="0"/>
    <n v="560"/>
    <x v="1"/>
    <s v="Pending"/>
    <n v="5"/>
    <n v="560"/>
    <n v="0"/>
    <n v="112"/>
    <s v="Feb"/>
    <n v="2024"/>
    <s v="Delayed"/>
    <s v="Normal"/>
    <s v="Yes"/>
  </r>
  <r>
    <s v="ORD0027"/>
    <d v="2023-10-02T00:00:00"/>
    <s v="CUST010"/>
    <s v="Quamar Velayutham"/>
    <x v="5"/>
    <s v="Tamil Nadu"/>
    <x v="4"/>
    <s v="Sports T-Shirt"/>
    <n v="3"/>
    <n v="699"/>
    <n v="0"/>
    <n v="2097"/>
    <x v="5"/>
    <s v="Pending"/>
    <n v="5"/>
    <n v="2097"/>
    <n v="0"/>
    <n v="419.40000000000003"/>
    <s v="Oct"/>
    <n v="2023"/>
    <s v="Delayed"/>
    <s v="Normal"/>
    <s v="No"/>
  </r>
  <r>
    <s v="ORD0028"/>
    <d v="2024-05-01T00:00:00"/>
    <s v="CUST076"/>
    <s v="Selvam Chinnaswamy"/>
    <x v="13"/>
    <s v="Tamil Nadu"/>
    <x v="0"/>
    <s v="Cycling Helmet"/>
    <n v="4"/>
    <n v="1100"/>
    <n v="20"/>
    <n v="3520"/>
    <x v="0"/>
    <s v="Delivered"/>
    <n v="1"/>
    <n v="4400"/>
    <n v="880"/>
    <n v="704"/>
    <s v="May"/>
    <n v="2024"/>
    <s v="Fast"/>
    <s v="Normal"/>
    <s v="No"/>
  </r>
  <r>
    <s v="ORD0029"/>
    <d v="2024-06-21T00:00:00"/>
    <s v="CUST032"/>
    <s v="Indira Rangasamy"/>
    <x v="0"/>
    <s v="Tamil Nadu"/>
    <x v="7"/>
    <s v="Business Analytics"/>
    <n v="2"/>
    <n v="520"/>
    <n v="5"/>
    <n v="988"/>
    <x v="2"/>
    <s v="Delivered"/>
    <n v="5"/>
    <n v="1040"/>
    <n v="52"/>
    <n v="197.60000000000002"/>
    <s v="Jun"/>
    <n v="2024"/>
    <s v="Delayed"/>
    <s v="Normal"/>
    <s v="No"/>
  </r>
  <r>
    <s v="ORD0030"/>
    <d v="2023-04-20T00:00:00"/>
    <s v="CUST008"/>
    <s v="Sridhar Venkatesh"/>
    <x v="14"/>
    <s v="Maharashtra"/>
    <x v="1"/>
    <s v="Shampoo 400ml"/>
    <n v="2"/>
    <n v="220"/>
    <n v="5"/>
    <n v="418"/>
    <x v="1"/>
    <s v="Delivered"/>
    <n v="2"/>
    <n v="440"/>
    <n v="22"/>
    <n v="83.600000000000009"/>
    <s v="Apr"/>
    <n v="2023"/>
    <s v="Fast"/>
    <s v="Normal"/>
    <s v="No"/>
  </r>
  <r>
    <s v="ORD0031"/>
    <d v="2023-02-12T00:00:00"/>
    <s v="CUST020"/>
    <s v="Indira Raj"/>
    <x v="15"/>
    <s v="Tamil Nadu"/>
    <x v="0"/>
    <s v="Resistance Bands Set"/>
    <n v="1"/>
    <n v="450"/>
    <n v="20"/>
    <n v="360"/>
    <x v="5"/>
    <s v="Delivered"/>
    <n v="2"/>
    <n v="450"/>
    <n v="90"/>
    <n v="72"/>
    <s v="Feb"/>
    <n v="2023"/>
    <s v="Fast"/>
    <s v="Normal"/>
    <s v="Yes"/>
  </r>
  <r>
    <s v="ORD0032"/>
    <d v="2023-09-16T00:00:00"/>
    <s v="CUST047"/>
    <s v="Ponmani Raj"/>
    <x v="7"/>
    <s v="Tamil Nadu"/>
    <x v="5"/>
    <s v="USB Hub"/>
    <n v="4"/>
    <n v="900"/>
    <n v="15"/>
    <n v="3060"/>
    <x v="0"/>
    <s v="Delivered"/>
    <n v="1"/>
    <n v="3600"/>
    <n v="540"/>
    <n v="612"/>
    <s v="Sep"/>
    <n v="2023"/>
    <s v="Fast"/>
    <s v="Normal"/>
    <s v="Yes"/>
  </r>
  <r>
    <s v="ORD0033"/>
    <d v="2023-05-26T00:00:00"/>
    <s v="CUST087"/>
    <s v="Pooja Perumal"/>
    <x v="1"/>
    <s v="Tamil Nadu"/>
    <x v="1"/>
    <s v="Lipstick"/>
    <n v="1"/>
    <n v="280"/>
    <n v="15"/>
    <n v="238"/>
    <x v="1"/>
    <s v="Delivered"/>
    <n v="6"/>
    <n v="280"/>
    <n v="42"/>
    <n v="47.6"/>
    <s v="May"/>
    <n v="2023"/>
    <s v="Delayed"/>
    <s v="Normal"/>
    <s v="No"/>
  </r>
  <r>
    <s v="ORD0034"/>
    <d v="2023-03-01T00:00:00"/>
    <s v="CUST057"/>
    <s v="Vimal Sharma"/>
    <x v="16"/>
    <s v="Tamil Nadu"/>
    <x v="3"/>
    <s v="Toor Dal 1kg"/>
    <n v="3"/>
    <n v="130"/>
    <n v="0"/>
    <n v="390"/>
    <x v="0"/>
    <s v="Delivered"/>
    <n v="8"/>
    <n v="390"/>
    <n v="0"/>
    <n v="78"/>
    <s v="Mar"/>
    <n v="2023"/>
    <s v="Delayed"/>
    <s v="Normal"/>
    <s v="No"/>
  </r>
  <r>
    <s v="ORD0035"/>
    <d v="2023-03-29T00:00:00"/>
    <s v="CUST011"/>
    <s v="Yogesh Krishnan"/>
    <x v="17"/>
    <s v="Kerala"/>
    <x v="6"/>
    <s v="Mixer Grinder"/>
    <n v="1"/>
    <n v="2800"/>
    <n v="0"/>
    <n v="2800"/>
    <x v="0"/>
    <s v="Delivered"/>
    <n v="4"/>
    <n v="2800"/>
    <n v="0"/>
    <n v="560"/>
    <s v="Mar"/>
    <n v="2023"/>
    <s v="Delayed"/>
    <s v="Normal"/>
    <s v="No"/>
  </r>
  <r>
    <s v="ORD0036"/>
    <d v="2024-04-27T00:00:00"/>
    <s v="CUST030"/>
    <s v="Kalpana Velayutham"/>
    <x v="2"/>
    <s v="Tamil Nadu"/>
    <x v="7"/>
    <s v="Highlighters Set"/>
    <n v="1"/>
    <n v="180"/>
    <n v="10"/>
    <n v="162"/>
    <x v="3"/>
    <s v="Cancelled"/>
    <n v="0"/>
    <n v="180"/>
    <n v="18"/>
    <n v="32.4"/>
    <s v="Apr"/>
    <n v="2024"/>
    <s v="Fast"/>
    <s v="Normal"/>
    <s v="Yes"/>
  </r>
  <r>
    <s v="ORD0037"/>
    <d v="2023-09-30T00:00:00"/>
    <s v="CUST067"/>
    <s v="Usha Srinivasan"/>
    <x v="4"/>
    <s v="Telangana"/>
    <x v="3"/>
    <s v="Toor Dal 1kg"/>
    <n v="3"/>
    <n v="130"/>
    <n v="5"/>
    <n v="370.5"/>
    <x v="2"/>
    <s v="Delivered"/>
    <n v="3"/>
    <n v="390"/>
    <n v="19.5"/>
    <n v="74.100000000000009"/>
    <s v="Sep"/>
    <n v="2023"/>
    <s v="Fast"/>
    <s v="Normal"/>
    <s v="Yes"/>
  </r>
  <r>
    <s v="ORD0038"/>
    <d v="2024-02-27T00:00:00"/>
    <s v="CUST036"/>
    <s v="Kavitha Nair"/>
    <x v="8"/>
    <s v="Tamil Nadu"/>
    <x v="6"/>
    <s v="Air Fryer"/>
    <n v="4"/>
    <n v="4500"/>
    <n v="0"/>
    <n v="18000"/>
    <x v="5"/>
    <s v="Pending"/>
    <n v="5"/>
    <n v="18000"/>
    <n v="0"/>
    <n v="3600"/>
    <s v="Feb"/>
    <n v="2024"/>
    <s v="Delayed"/>
    <s v="High Value"/>
    <s v="No"/>
  </r>
  <r>
    <s v="ORD0039"/>
    <d v="2023-05-01T00:00:00"/>
    <s v="CUST082"/>
    <s v="Ajay Venkatesh"/>
    <x v="9"/>
    <s v="Tamil Nadu"/>
    <x v="0"/>
    <s v="Sports Shoes"/>
    <n v="3"/>
    <n v="2800"/>
    <n v="0"/>
    <n v="8400"/>
    <x v="5"/>
    <s v="Returned"/>
    <n v="1"/>
    <n v="8400"/>
    <n v="0"/>
    <n v="1680"/>
    <s v="May"/>
    <n v="2023"/>
    <s v="Fast"/>
    <s v="High Value"/>
    <s v="No"/>
  </r>
  <r>
    <s v="ORD0040"/>
    <d v="2024-05-20T00:00:00"/>
    <s v="CUST045"/>
    <s v="Harish Thangavel"/>
    <x v="2"/>
    <s v="Tamil Nadu"/>
    <x v="4"/>
    <s v="Polo T-Shirt"/>
    <n v="2"/>
    <n v="799"/>
    <n v="0"/>
    <n v="1598"/>
    <x v="0"/>
    <s v="Pending"/>
    <n v="1"/>
    <n v="1598"/>
    <n v="0"/>
    <n v="319.60000000000002"/>
    <s v="May"/>
    <n v="2024"/>
    <s v="Fast"/>
    <s v="Normal"/>
    <s v="No"/>
  </r>
  <r>
    <s v="ORD0041"/>
    <d v="2024-02-13T00:00:00"/>
    <s v="CUST078"/>
    <s v="Shanthi Venkatesh"/>
    <x v="17"/>
    <s v="Kerala"/>
    <x v="2"/>
    <s v="Kids Drawing Kit"/>
    <n v="4"/>
    <n v="320"/>
    <n v="15"/>
    <n v="1088"/>
    <x v="4"/>
    <s v="Pending"/>
    <n v="3"/>
    <n v="1280"/>
    <n v="192"/>
    <n v="217.60000000000002"/>
    <s v="Feb"/>
    <n v="2024"/>
    <s v="Fast"/>
    <s v="Normal"/>
    <s v="No"/>
  </r>
  <r>
    <s v="ORD0042"/>
    <d v="2023-11-24T00:00:00"/>
    <s v="CUST074"/>
    <s v="Bharathi Raj"/>
    <x v="8"/>
    <s v="Tamil Nadu"/>
    <x v="6"/>
    <s v="Non-Stick Pan"/>
    <n v="2"/>
    <n v="850"/>
    <n v="10"/>
    <n v="1530"/>
    <x v="2"/>
    <s v="Pending"/>
    <n v="5"/>
    <n v="1700"/>
    <n v="170"/>
    <n v="306"/>
    <s v="Nov"/>
    <n v="2023"/>
    <s v="Delayed"/>
    <s v="Normal"/>
    <s v="No"/>
  </r>
  <r>
    <s v="ORD0043"/>
    <d v="2023-02-15T00:00:00"/>
    <s v="CUST047"/>
    <s v="Ponmani Raj"/>
    <x v="7"/>
    <s v="Tamil Nadu"/>
    <x v="0"/>
    <s v="Yoga Mat 6mm"/>
    <n v="3"/>
    <n v="650"/>
    <n v="5"/>
    <n v="1852.5"/>
    <x v="2"/>
    <s v="Cancelled"/>
    <n v="0"/>
    <n v="1950"/>
    <n v="97.5"/>
    <n v="370.5"/>
    <s v="Feb"/>
    <n v="2023"/>
    <s v="Fast"/>
    <s v="Normal"/>
    <s v="No"/>
  </r>
  <r>
    <s v="ORD0044"/>
    <d v="2024-04-17T00:00:00"/>
    <s v="CUST081"/>
    <s v="Anita Iyer"/>
    <x v="2"/>
    <s v="Tamil Nadu"/>
    <x v="1"/>
    <s v="Perfume 100ml"/>
    <n v="1"/>
    <n v="1200"/>
    <n v="15"/>
    <n v="1020"/>
    <x v="0"/>
    <s v="Delivered"/>
    <n v="6"/>
    <n v="1200"/>
    <n v="180"/>
    <n v="204"/>
    <s v="Apr"/>
    <n v="2024"/>
    <s v="Delayed"/>
    <s v="Normal"/>
    <s v="No"/>
  </r>
  <r>
    <s v="ORD0045"/>
    <d v="2023-07-25T00:00:00"/>
    <s v="CUST003"/>
    <s v="Muthukumar Mani"/>
    <x v="5"/>
    <s v="Tamil Nadu"/>
    <x v="2"/>
    <s v="Jigsaw Puzzle 500pcs"/>
    <n v="3"/>
    <n v="450"/>
    <n v="15"/>
    <n v="1147.5"/>
    <x v="5"/>
    <s v="Delivered"/>
    <n v="3"/>
    <n v="1350"/>
    <n v="202.5"/>
    <n v="229.5"/>
    <s v="Jul"/>
    <n v="2023"/>
    <s v="Fast"/>
    <s v="Normal"/>
    <s v="No"/>
  </r>
  <r>
    <s v="ORD0046"/>
    <d v="2024-03-04T00:00:00"/>
    <s v="CUST062"/>
    <s v="Vinoth Gopal"/>
    <x v="7"/>
    <s v="Tamil Nadu"/>
    <x v="0"/>
    <s v="Dumbbell Pair 5kg"/>
    <n v="3"/>
    <n v="1200"/>
    <n v="0"/>
    <n v="3600"/>
    <x v="2"/>
    <s v="Delivered"/>
    <n v="9"/>
    <n v="3600"/>
    <n v="0"/>
    <n v="720"/>
    <s v="Mar"/>
    <n v="2024"/>
    <s v="Delayed"/>
    <s v="Normal"/>
    <s v="No"/>
  </r>
  <r>
    <s v="ORD0047"/>
    <d v="2023-02-02T00:00:00"/>
    <s v="CUST081"/>
    <s v="Anita Iyer"/>
    <x v="2"/>
    <s v="Tamil Nadu"/>
    <x v="2"/>
    <s v="Jigsaw Puzzle 500pcs"/>
    <n v="2"/>
    <n v="450"/>
    <n v="0"/>
    <n v="900"/>
    <x v="2"/>
    <s v="Cancelled"/>
    <n v="0"/>
    <n v="900"/>
    <n v="0"/>
    <n v="180"/>
    <s v="Feb"/>
    <n v="2023"/>
    <s v="Fast"/>
    <s v="Normal"/>
    <s v="No"/>
  </r>
  <r>
    <s v="ORD0048"/>
    <d v="2023-11-25T00:00:00"/>
    <s v="CUST020"/>
    <s v="Indira Raj"/>
    <x v="15"/>
    <s v="Tamil Nadu"/>
    <x v="0"/>
    <s v="Resistance Bands Set"/>
    <n v="3"/>
    <n v="450"/>
    <n v="15"/>
    <n v="1147.5"/>
    <x v="4"/>
    <s v="Pending"/>
    <n v="2"/>
    <n v="1350"/>
    <n v="202.5"/>
    <n v="229.5"/>
    <s v="Nov"/>
    <n v="2023"/>
    <s v="Fast"/>
    <s v="Normal"/>
    <s v="Yes"/>
  </r>
  <r>
    <s v="ORD0049"/>
    <d v="2024-02-03T00:00:00"/>
    <s v="CUST098"/>
    <s v="Harish Thangavel"/>
    <x v="17"/>
    <s v="Kerala"/>
    <x v="2"/>
    <s v="Remote Control Car"/>
    <n v="1"/>
    <n v="1200"/>
    <n v="0"/>
    <n v="1200"/>
    <x v="5"/>
    <s v="Delivered"/>
    <n v="4"/>
    <n v="1200"/>
    <n v="0"/>
    <n v="240"/>
    <s v="Feb"/>
    <n v="2024"/>
    <s v="Delayed"/>
    <s v="Normal"/>
    <s v="Yes"/>
  </r>
  <r>
    <s v="ORD0050"/>
    <d v="2023-04-21T00:00:00"/>
    <s v="CUST006"/>
    <s v="Rajesh Murugesan"/>
    <x v="15"/>
    <s v="Tamil Nadu"/>
    <x v="3"/>
    <s v="Toor Dal 1kg"/>
    <n v="1"/>
    <n v="130"/>
    <n v="0"/>
    <n v="130"/>
    <x v="1"/>
    <s v="Delivered"/>
    <n v="6"/>
    <n v="130"/>
    <n v="0"/>
    <n v="26"/>
    <s v="Apr"/>
    <n v="2023"/>
    <s v="Delayed"/>
    <s v="Normal"/>
    <s v="No"/>
  </r>
  <r>
    <s v="ORD0051"/>
    <d v="2023-04-16T00:00:00"/>
    <s v="CUST003"/>
    <s v="Muthukumar Mani"/>
    <x v="5"/>
    <s v="Tamil Nadu"/>
    <x v="6"/>
    <s v="Knife Set"/>
    <n v="4"/>
    <n v="650"/>
    <n v="5"/>
    <n v="2470"/>
    <x v="5"/>
    <s v="Delivered"/>
    <n v="5"/>
    <n v="2600"/>
    <n v="130"/>
    <n v="494"/>
    <s v="Apr"/>
    <n v="2023"/>
    <s v="Delayed"/>
    <s v="Normal"/>
    <s v="Yes"/>
  </r>
  <r>
    <s v="ORD0052"/>
    <d v="2023-12-28T00:00:00"/>
    <s v="CUST094"/>
    <s v="Ashok Perumal"/>
    <x v="3"/>
    <s v="Tamil Nadu"/>
    <x v="7"/>
    <s v="Leadership Mindset"/>
    <n v="1"/>
    <n v="350"/>
    <n v="0"/>
    <n v="350"/>
    <x v="1"/>
    <s v="Pending"/>
    <n v="3"/>
    <n v="350"/>
    <n v="0"/>
    <n v="70"/>
    <s v="Dec"/>
    <n v="2023"/>
    <s v="Fast"/>
    <s v="Normal"/>
    <s v="No"/>
  </r>
  <r>
    <s v="ORD0053"/>
    <d v="2024-02-21T00:00:00"/>
    <s v="CUST041"/>
    <s v="Mohan Annamalai"/>
    <x v="18"/>
    <s v="Tamil Nadu"/>
    <x v="6"/>
    <s v="Steel Water Bottle"/>
    <n v="2"/>
    <n v="350"/>
    <n v="0"/>
    <n v="700"/>
    <x v="2"/>
    <s v="Delivered"/>
    <n v="3"/>
    <n v="700"/>
    <n v="0"/>
    <n v="140"/>
    <s v="Feb"/>
    <n v="2024"/>
    <s v="Fast"/>
    <s v="Normal"/>
    <s v="No"/>
  </r>
  <r>
    <s v="ORD0054"/>
    <d v="2023-08-18T00:00:00"/>
    <s v="CUST087"/>
    <s v="Pooja Perumal"/>
    <x v="1"/>
    <s v="Tamil Nadu"/>
    <x v="1"/>
    <s v="Perfume 100ml"/>
    <n v="2"/>
    <n v="1200"/>
    <n v="10"/>
    <n v="2160"/>
    <x v="2"/>
    <s v="Returned"/>
    <n v="2"/>
    <n v="2400"/>
    <n v="240"/>
    <n v="432"/>
    <s v="Aug"/>
    <n v="2023"/>
    <s v="Fast"/>
    <s v="Normal"/>
    <s v="No"/>
  </r>
  <r>
    <s v="ORD0055"/>
    <d v="2024-01-30T00:00:00"/>
    <s v="CUST017"/>
    <s v="Harish Balakrishnan"/>
    <x v="4"/>
    <s v="Telangana"/>
    <x v="4"/>
    <s v="Denim Jeans"/>
    <n v="2"/>
    <n v="1600"/>
    <n v="0"/>
    <n v="3200"/>
    <x v="2"/>
    <s v="Delivered"/>
    <n v="10"/>
    <n v="3200"/>
    <n v="0"/>
    <n v="640"/>
    <s v="Jan"/>
    <n v="2024"/>
    <s v="Delayed"/>
    <s v="Normal"/>
    <s v="No"/>
  </r>
  <r>
    <s v="ORD0056"/>
    <d v="2023-09-13T00:00:00"/>
    <s v="CUST088"/>
    <s v="Gopal Ramasamy"/>
    <x v="5"/>
    <s v="Tamil Nadu"/>
    <x v="2"/>
    <s v="Baby Walker"/>
    <n v="4"/>
    <n v="2200"/>
    <n v="5"/>
    <n v="8360"/>
    <x v="2"/>
    <s v="Delivered"/>
    <n v="5"/>
    <n v="8800"/>
    <n v="440"/>
    <n v="1672"/>
    <s v="Sep"/>
    <n v="2023"/>
    <s v="Delayed"/>
    <s v="High Value"/>
    <s v="No"/>
  </r>
  <r>
    <s v="ORD0057"/>
    <d v="2023-11-18T00:00:00"/>
    <s v="CUST028"/>
    <s v="Vanitha Krishnan"/>
    <x v="18"/>
    <s v="Tamil Nadu"/>
    <x v="2"/>
    <s v="Kids Drawing Kit"/>
    <n v="2"/>
    <n v="320"/>
    <n v="0"/>
    <n v="640"/>
    <x v="0"/>
    <s v="Delivered"/>
    <n v="9"/>
    <n v="640"/>
    <n v="0"/>
    <n v="128"/>
    <s v="Nov"/>
    <n v="2023"/>
    <s v="Delayed"/>
    <s v="Normal"/>
    <s v="Yes"/>
  </r>
  <r>
    <s v="ORD0058"/>
    <d v="2024-05-19T00:00:00"/>
    <s v="CUST031"/>
    <s v="Girija Iyer"/>
    <x v="12"/>
    <s v="Tamil Nadu"/>
    <x v="0"/>
    <s v="Skipping Rope"/>
    <n v="2"/>
    <n v="250"/>
    <n v="20"/>
    <n v="400"/>
    <x v="5"/>
    <s v="Delivered"/>
    <n v="8"/>
    <n v="500"/>
    <n v="100"/>
    <n v="80"/>
    <s v="May"/>
    <n v="2024"/>
    <s v="Delayed"/>
    <s v="Normal"/>
    <s v="Yes"/>
  </r>
  <r>
    <s v="ORD0059"/>
    <d v="2024-02-25T00:00:00"/>
    <s v="CUST083"/>
    <s v="Kumar Duraisamy"/>
    <x v="2"/>
    <s v="Tamil Nadu"/>
    <x v="1"/>
    <s v="Face Serum"/>
    <n v="4"/>
    <n v="890"/>
    <n v="0"/>
    <n v="3560"/>
    <x v="2"/>
    <s v="Returned"/>
    <n v="5"/>
    <n v="3560"/>
    <n v="0"/>
    <n v="712"/>
    <s v="Feb"/>
    <n v="2024"/>
    <s v="Delayed"/>
    <s v="Normal"/>
    <s v="Yes"/>
  </r>
  <r>
    <s v="ORD0060"/>
    <d v="2023-05-14T00:00:00"/>
    <s v="CUST034"/>
    <s v="Aarav Krishnan"/>
    <x v="19"/>
    <s v="Maharashtra"/>
    <x v="4"/>
    <s v="Leggings"/>
    <n v="3"/>
    <n v="499"/>
    <n v="15"/>
    <n v="1272.45"/>
    <x v="4"/>
    <s v="Delivered"/>
    <n v="7"/>
    <n v="1497"/>
    <n v="224.54999999999998"/>
    <n v="254.49"/>
    <s v="May"/>
    <n v="2023"/>
    <s v="Delayed"/>
    <s v="Normal"/>
    <s v="Yes"/>
  </r>
  <r>
    <s v="ORD0061"/>
    <d v="2023-07-06T00:00:00"/>
    <s v="CUST082"/>
    <s v="Ajay Venkatesh"/>
    <x v="9"/>
    <s v="Tamil Nadu"/>
    <x v="7"/>
    <s v="A4 Notebooks Pack5"/>
    <n v="2"/>
    <n v="220"/>
    <n v="0"/>
    <n v="440"/>
    <x v="5"/>
    <s v="Delivered"/>
    <n v="6"/>
    <n v="440"/>
    <n v="0"/>
    <n v="88"/>
    <s v="Jul"/>
    <n v="2023"/>
    <s v="Delayed"/>
    <s v="Normal"/>
    <s v="No"/>
  </r>
  <r>
    <s v="ORD0062"/>
    <d v="2023-03-23T00:00:00"/>
    <s v="CUST077"/>
    <s v="Ramesh Venkatesh"/>
    <x v="20"/>
    <s v="Tamil Nadu"/>
    <x v="6"/>
    <s v="Water Purifier RO"/>
    <n v="3"/>
    <n v="9500"/>
    <n v="0"/>
    <n v="28500"/>
    <x v="5"/>
    <s v="Delivered"/>
    <n v="8"/>
    <n v="28500"/>
    <n v="0"/>
    <n v="5700"/>
    <s v="Mar"/>
    <n v="2023"/>
    <s v="Delayed"/>
    <s v="High Value"/>
    <s v="No"/>
  </r>
  <r>
    <s v="ORD0063"/>
    <d v="2024-03-21T00:00:00"/>
    <s v="CUST048"/>
    <s v="Elavarasi Karuppasamy"/>
    <x v="21"/>
    <s v="Karnataka"/>
    <x v="7"/>
    <s v="A4 Notebooks Pack5"/>
    <n v="1"/>
    <n v="220"/>
    <n v="0"/>
    <n v="220"/>
    <x v="2"/>
    <s v="Pending"/>
    <n v="1"/>
    <n v="220"/>
    <n v="0"/>
    <n v="44"/>
    <s v="Mar"/>
    <n v="2024"/>
    <s v="Fast"/>
    <s v="Normal"/>
    <s v="No"/>
  </r>
  <r>
    <s v="ORD0064"/>
    <d v="2024-06-15T00:00:00"/>
    <s v="CUST025"/>
    <s v="Vasanth Sundaram"/>
    <x v="22"/>
    <s v="Tamil Nadu"/>
    <x v="6"/>
    <s v="Knife Set"/>
    <n v="2"/>
    <n v="650"/>
    <n v="20"/>
    <n v="1040"/>
    <x v="5"/>
    <s v="Delivered"/>
    <n v="2"/>
    <n v="1300"/>
    <n v="260"/>
    <n v="208"/>
    <s v="Jun"/>
    <n v="2024"/>
    <s v="Fast"/>
    <s v="Normal"/>
    <s v="Yes"/>
  </r>
  <r>
    <s v="ORD0065"/>
    <d v="2023-01-26T00:00:00"/>
    <s v="CUST013"/>
    <s v="Shalini Ramachandran"/>
    <x v="1"/>
    <s v="Tamil Nadu"/>
    <x v="4"/>
    <s v="Casual Dress"/>
    <n v="1"/>
    <n v="1100"/>
    <n v="5"/>
    <n v="1045"/>
    <x v="3"/>
    <s v="Cancelled"/>
    <n v="0"/>
    <n v="1100"/>
    <n v="55"/>
    <n v="209"/>
    <s v="Jan"/>
    <n v="2023"/>
    <s v="Fast"/>
    <s v="Normal"/>
    <s v="No"/>
  </r>
  <r>
    <s v="ORD0066"/>
    <d v="2023-03-02T00:00:00"/>
    <s v="CUST078"/>
    <s v="Shanthi Venkatesh"/>
    <x v="17"/>
    <s v="Kerala"/>
    <x v="5"/>
    <s v="Portable Charger"/>
    <n v="1"/>
    <n v="1200"/>
    <n v="5"/>
    <n v="1140"/>
    <x v="0"/>
    <s v="Cancelled"/>
    <n v="0"/>
    <n v="1200"/>
    <n v="60"/>
    <n v="228"/>
    <s v="Mar"/>
    <n v="2023"/>
    <s v="Fast"/>
    <s v="Normal"/>
    <s v="No"/>
  </r>
  <r>
    <s v="ORD0067"/>
    <d v="2023-02-27T00:00:00"/>
    <s v="CUST010"/>
    <s v="Quamar Velayutham"/>
    <x v="5"/>
    <s v="Tamil Nadu"/>
    <x v="4"/>
    <s v="Sports T-Shirt"/>
    <n v="1"/>
    <n v="699"/>
    <n v="0"/>
    <n v="699"/>
    <x v="2"/>
    <s v="Delivered"/>
    <n v="2"/>
    <n v="699"/>
    <n v="0"/>
    <n v="139.80000000000001"/>
    <s v="Feb"/>
    <n v="2023"/>
    <s v="Fast"/>
    <s v="Normal"/>
    <s v="No"/>
  </r>
  <r>
    <s v="ORD0068"/>
    <d v="2023-04-21T00:00:00"/>
    <s v="CUST085"/>
    <s v="Sathish Balakrishnan"/>
    <x v="2"/>
    <s v="Tamil Nadu"/>
    <x v="7"/>
    <s v="Sticky Notes 400pcs"/>
    <n v="1"/>
    <n v="120"/>
    <n v="15"/>
    <n v="102"/>
    <x v="5"/>
    <s v="Pending"/>
    <n v="1"/>
    <n v="120"/>
    <n v="18"/>
    <n v="20.400000000000002"/>
    <s v="Apr"/>
    <n v="2023"/>
    <s v="Fast"/>
    <s v="Normal"/>
    <s v="No"/>
  </r>
  <r>
    <s v="ORD0069"/>
    <d v="2024-01-28T00:00:00"/>
    <s v="CUST049"/>
    <s v="Oviya Babu"/>
    <x v="3"/>
    <s v="Tamil Nadu"/>
    <x v="3"/>
    <s v="Toor Dal 1kg"/>
    <n v="4"/>
    <n v="130"/>
    <n v="0"/>
    <n v="520"/>
    <x v="5"/>
    <s v="Delivered"/>
    <n v="4"/>
    <n v="520"/>
    <n v="0"/>
    <n v="104"/>
    <s v="Jan"/>
    <n v="2024"/>
    <s v="Delayed"/>
    <s v="Normal"/>
    <s v="Yes"/>
  </r>
  <r>
    <s v="ORD0070"/>
    <d v="2023-02-18T00:00:00"/>
    <s v="CUST028"/>
    <s v="Vanitha Krishnan"/>
    <x v="18"/>
    <s v="Tamil Nadu"/>
    <x v="0"/>
    <s v="Sports Shoes"/>
    <n v="3"/>
    <n v="2800"/>
    <n v="10"/>
    <n v="7560"/>
    <x v="3"/>
    <s v="Pending"/>
    <n v="3"/>
    <n v="8400"/>
    <n v="840"/>
    <n v="1512"/>
    <s v="Feb"/>
    <n v="2023"/>
    <s v="Fast"/>
    <s v="High Value"/>
    <s v="Yes"/>
  </r>
  <r>
    <s v="ORD0071"/>
    <d v="2023-01-29T00:00:00"/>
    <s v="CUST095"/>
    <s v="Vanitha Natarajan"/>
    <x v="4"/>
    <s v="Telangana"/>
    <x v="2"/>
    <s v="LEGO Classic Set"/>
    <n v="1"/>
    <n v="1800"/>
    <n v="5"/>
    <n v="1710"/>
    <x v="1"/>
    <s v="Returned"/>
    <n v="2"/>
    <n v="1800"/>
    <n v="90"/>
    <n v="342"/>
    <s v="Jan"/>
    <n v="2023"/>
    <s v="Fast"/>
    <s v="Normal"/>
    <s v="Yes"/>
  </r>
  <r>
    <s v="ORD0072"/>
    <d v="2023-08-11T00:00:00"/>
    <s v="CUST047"/>
    <s v="Ponmani Raj"/>
    <x v="7"/>
    <s v="Tamil Nadu"/>
    <x v="2"/>
    <s v="LEGO Classic Set"/>
    <n v="2"/>
    <n v="1800"/>
    <n v="5"/>
    <n v="3420"/>
    <x v="3"/>
    <s v="Delivered"/>
    <n v="10"/>
    <n v="3600"/>
    <n v="180"/>
    <n v="684"/>
    <s v="Aug"/>
    <n v="2023"/>
    <s v="Delayed"/>
    <s v="Normal"/>
    <s v="No"/>
  </r>
  <r>
    <s v="ORD0073"/>
    <d v="2023-10-03T00:00:00"/>
    <s v="CUST051"/>
    <s v="Bhavana Gopal"/>
    <x v="1"/>
    <s v="Tamil Nadu"/>
    <x v="6"/>
    <s v="Steel Water Bottle"/>
    <n v="2"/>
    <n v="350"/>
    <n v="5"/>
    <n v="665"/>
    <x v="5"/>
    <s v="Delivered"/>
    <n v="1"/>
    <n v="700"/>
    <n v="35"/>
    <n v="133"/>
    <s v="Oct"/>
    <n v="2023"/>
    <s v="Fast"/>
    <s v="Normal"/>
    <s v="No"/>
  </r>
  <r>
    <s v="ORD0074"/>
    <d v="2024-02-10T00:00:00"/>
    <s v="CUST014"/>
    <s v="Rajesh Velayutham"/>
    <x v="3"/>
    <s v="Tamil Nadu"/>
    <x v="5"/>
    <s v="Laptop"/>
    <n v="4"/>
    <n v="45000"/>
    <n v="5"/>
    <n v="171000"/>
    <x v="2"/>
    <s v="Cancelled"/>
    <n v="0"/>
    <n v="180000"/>
    <n v="9000"/>
    <n v="34200"/>
    <s v="Feb"/>
    <n v="2024"/>
    <s v="Fast"/>
    <s v="High Value"/>
    <s v="Yes"/>
  </r>
  <r>
    <s v="ORD0075"/>
    <d v="2024-05-12T00:00:00"/>
    <s v="CUST077"/>
    <s v="Ramesh Venkatesh"/>
    <x v="20"/>
    <s v="Tamil Nadu"/>
    <x v="7"/>
    <s v="Leadership Mindset"/>
    <n v="1"/>
    <n v="350"/>
    <n v="15"/>
    <n v="297.5"/>
    <x v="2"/>
    <s v="Delivered"/>
    <n v="10"/>
    <n v="350"/>
    <n v="52.5"/>
    <n v="59.5"/>
    <s v="May"/>
    <n v="2024"/>
    <s v="Delayed"/>
    <s v="Normal"/>
    <s v="Yes"/>
  </r>
  <r>
    <s v="ORD0076"/>
    <d v="2024-04-23T00:00:00"/>
    <s v="CUST073"/>
    <s v="Quamar Ramasamy"/>
    <x v="4"/>
    <s v="Telangana"/>
    <x v="1"/>
    <s v="Moisturizer 50g"/>
    <n v="1"/>
    <n v="380"/>
    <n v="15"/>
    <n v="323"/>
    <x v="4"/>
    <s v="Delivered"/>
    <n v="3"/>
    <n v="380"/>
    <n v="57"/>
    <n v="64.600000000000009"/>
    <s v="Apr"/>
    <n v="2024"/>
    <s v="Fast"/>
    <s v="Normal"/>
    <s v="No"/>
  </r>
  <r>
    <s v="ORD0077"/>
    <d v="2024-02-08T00:00:00"/>
    <s v="CUST005"/>
    <s v="Krishnan Duraisamy"/>
    <x v="23"/>
    <s v="Tamil Nadu"/>
    <x v="1"/>
    <s v="Sunscreen SPF50"/>
    <n v="3"/>
    <n v="320"/>
    <n v="20"/>
    <n v="768"/>
    <x v="5"/>
    <s v="Cancelled"/>
    <n v="0"/>
    <n v="960"/>
    <n v="192"/>
    <n v="153.60000000000002"/>
    <s v="Feb"/>
    <n v="2024"/>
    <s v="Fast"/>
    <s v="Normal"/>
    <s v="No"/>
  </r>
  <r>
    <s v="ORD0078"/>
    <d v="2023-10-29T00:00:00"/>
    <s v="CUST090"/>
    <s v="Ramesh Sharma"/>
    <x v="18"/>
    <s v="Tamil Nadu"/>
    <x v="7"/>
    <s v="Highlighters Set"/>
    <n v="1"/>
    <n v="180"/>
    <n v="5"/>
    <n v="171"/>
    <x v="1"/>
    <s v="Delivered"/>
    <n v="6"/>
    <n v="180"/>
    <n v="9"/>
    <n v="34.200000000000003"/>
    <s v="Oct"/>
    <n v="2023"/>
    <s v="Delayed"/>
    <s v="Normal"/>
    <s v="Yes"/>
  </r>
  <r>
    <s v="ORD0079"/>
    <d v="2024-03-10T00:00:00"/>
    <s v="CUST095"/>
    <s v="Vanitha Natarajan"/>
    <x v="4"/>
    <s v="Telangana"/>
    <x v="2"/>
    <s v="Remote Control Car"/>
    <n v="3"/>
    <n v="1200"/>
    <n v="15"/>
    <n v="3060"/>
    <x v="5"/>
    <s v="Delivered"/>
    <n v="2"/>
    <n v="3600"/>
    <n v="540"/>
    <n v="612"/>
    <s v="Mar"/>
    <n v="2024"/>
    <s v="Fast"/>
    <s v="Normal"/>
    <s v="Yes"/>
  </r>
  <r>
    <s v="ORD0080"/>
    <d v="2024-04-07T00:00:00"/>
    <s v="CUST005"/>
    <s v="Krishnan Duraisamy"/>
    <x v="23"/>
    <s v="Tamil Nadu"/>
    <x v="1"/>
    <s v="Body Lotion 400ml"/>
    <n v="2"/>
    <n v="260"/>
    <n v="0"/>
    <n v="520"/>
    <x v="2"/>
    <s v="Delivered"/>
    <n v="1"/>
    <n v="520"/>
    <n v="0"/>
    <n v="104"/>
    <s v="Apr"/>
    <n v="2024"/>
    <s v="Fast"/>
    <s v="Normal"/>
    <s v="Yes"/>
  </r>
  <r>
    <s v="ORD0081"/>
    <d v="2023-12-10T00:00:00"/>
    <s v="CUST045"/>
    <s v="Harish Thangavel"/>
    <x v="2"/>
    <s v="Tamil Nadu"/>
    <x v="6"/>
    <s v="Pressure Cooker 5L"/>
    <n v="1"/>
    <n v="1500"/>
    <n v="0"/>
    <n v="1500"/>
    <x v="4"/>
    <s v="Delivered"/>
    <n v="2"/>
    <n v="1500"/>
    <n v="0"/>
    <n v="300"/>
    <s v="Dec"/>
    <n v="2023"/>
    <s v="Fast"/>
    <s v="Normal"/>
    <s v="Yes"/>
  </r>
  <r>
    <s v="ORD0082"/>
    <d v="2024-01-18T00:00:00"/>
    <s v="CUST099"/>
    <s v="Tamil Mani"/>
    <x v="19"/>
    <s v="Maharashtra"/>
    <x v="5"/>
    <s v="USB Hub"/>
    <n v="1"/>
    <n v="900"/>
    <n v="5"/>
    <n v="855"/>
    <x v="0"/>
    <s v="Delivered"/>
    <n v="1"/>
    <n v="900"/>
    <n v="45"/>
    <n v="171"/>
    <s v="Jan"/>
    <n v="2024"/>
    <s v="Fast"/>
    <s v="Normal"/>
    <s v="No"/>
  </r>
  <r>
    <s v="ORD0083"/>
    <d v="2024-03-13T00:00:00"/>
    <s v="CUST095"/>
    <s v="Vanitha Natarajan"/>
    <x v="4"/>
    <s v="Telangana"/>
    <x v="2"/>
    <s v="Remote Control Car"/>
    <n v="4"/>
    <n v="1200"/>
    <n v="15"/>
    <n v="4080"/>
    <x v="5"/>
    <s v="Returned"/>
    <n v="2"/>
    <n v="4800"/>
    <n v="720"/>
    <n v="816"/>
    <s v="Mar"/>
    <n v="2024"/>
    <s v="Fast"/>
    <s v="Normal"/>
    <s v="No"/>
  </r>
  <r>
    <s v="ORD0084"/>
    <d v="2024-02-27T00:00:00"/>
    <s v="CUST060"/>
    <s v="Balaji Natarajan"/>
    <x v="20"/>
    <s v="Tamil Nadu"/>
    <x v="4"/>
    <s v="Casual Dress"/>
    <n v="1"/>
    <n v="1100"/>
    <n v="0"/>
    <n v="1100"/>
    <x v="5"/>
    <s v="Delivered"/>
    <n v="8"/>
    <n v="1100"/>
    <n v="0"/>
    <n v="220"/>
    <s v="Feb"/>
    <n v="2024"/>
    <s v="Delayed"/>
    <s v="Normal"/>
    <s v="No"/>
  </r>
  <r>
    <s v="ORD0085"/>
    <d v="2023-06-24T00:00:00"/>
    <s v="CUST003"/>
    <s v="Muthukumar Mani"/>
    <x v="5"/>
    <s v="Tamil Nadu"/>
    <x v="3"/>
    <s v="Whole Wheat Atta 10kg"/>
    <n v="2"/>
    <n v="450"/>
    <n v="5"/>
    <n v="855"/>
    <x v="2"/>
    <s v="Delivered"/>
    <n v="4"/>
    <n v="900"/>
    <n v="45"/>
    <n v="171"/>
    <s v="Jun"/>
    <n v="2023"/>
    <s v="Delayed"/>
    <s v="Normal"/>
    <s v="Yes"/>
  </r>
  <r>
    <s v="ORD0086"/>
    <d v="2024-01-26T00:00:00"/>
    <s v="CUST096"/>
    <s v="Suresh Murugan"/>
    <x v="22"/>
    <s v="Tamil Nadu"/>
    <x v="5"/>
    <s v="Smart TV"/>
    <n v="4"/>
    <n v="28000"/>
    <n v="0"/>
    <n v="112000"/>
    <x v="5"/>
    <s v="Returned"/>
    <n v="3"/>
    <n v="112000"/>
    <n v="0"/>
    <n v="22400"/>
    <s v="Jan"/>
    <n v="2024"/>
    <s v="Fast"/>
    <s v="High Value"/>
    <s v="No"/>
  </r>
  <r>
    <s v="ORD0087"/>
    <d v="2023-09-25T00:00:00"/>
    <s v="CUST054"/>
    <s v="Tamilarasi Murugan"/>
    <x v="2"/>
    <s v="Tamil Nadu"/>
    <x v="1"/>
    <s v="Hair Oil 200ml"/>
    <n v="4"/>
    <n v="140"/>
    <n v="10"/>
    <n v="504"/>
    <x v="0"/>
    <s v="Delivered"/>
    <n v="1"/>
    <n v="560"/>
    <n v="56"/>
    <n v="100.80000000000001"/>
    <s v="Sep"/>
    <n v="2023"/>
    <s v="Fast"/>
    <s v="Normal"/>
    <s v="No"/>
  </r>
  <r>
    <s v="ORD0088"/>
    <d v="2023-05-22T00:00:00"/>
    <s v="CUST095"/>
    <s v="Vanitha Natarajan"/>
    <x v="4"/>
    <s v="Telangana"/>
    <x v="0"/>
    <s v="Sports Shoes"/>
    <n v="3"/>
    <n v="2800"/>
    <n v="10"/>
    <n v="7560"/>
    <x v="5"/>
    <s v="Cancelled"/>
    <n v="0"/>
    <n v="8400"/>
    <n v="840"/>
    <n v="1512"/>
    <s v="May"/>
    <n v="2023"/>
    <s v="Fast"/>
    <s v="High Value"/>
    <s v="No"/>
  </r>
  <r>
    <s v="ORD0089"/>
    <d v="2024-06-12T00:00:00"/>
    <s v="CUST079"/>
    <s v="Kumar Murugan"/>
    <x v="22"/>
    <s v="Tamil Nadu"/>
    <x v="0"/>
    <s v="Badminton Racket"/>
    <n v="2"/>
    <n v="950"/>
    <n v="0"/>
    <n v="1900"/>
    <x v="0"/>
    <s v="Delivered"/>
    <n v="5"/>
    <n v="1900"/>
    <n v="0"/>
    <n v="380"/>
    <s v="Jun"/>
    <n v="2024"/>
    <s v="Delayed"/>
    <s v="Normal"/>
    <s v="No"/>
  </r>
  <r>
    <s v="ORD0090"/>
    <d v="2024-02-10T00:00:00"/>
    <s v="CUST068"/>
    <s v="Vanitha Iyer"/>
    <x v="8"/>
    <s v="Tamil Nadu"/>
    <x v="4"/>
    <s v="Women's Kurti"/>
    <n v="3"/>
    <n v="850"/>
    <n v="15"/>
    <n v="2167.5"/>
    <x v="4"/>
    <s v="Cancelled"/>
    <n v="0"/>
    <n v="2550"/>
    <n v="382.5"/>
    <n v="433.5"/>
    <s v="Feb"/>
    <n v="2024"/>
    <s v="Fast"/>
    <s v="Normal"/>
    <s v="Yes"/>
  </r>
  <r>
    <s v="ORD0091"/>
    <d v="2024-01-27T00:00:00"/>
    <s v="CUST075"/>
    <s v="Vasanth Velayutham"/>
    <x v="17"/>
    <s v="Kerala"/>
    <x v="1"/>
    <s v="Shampoo 400ml"/>
    <n v="1"/>
    <n v="220"/>
    <n v="5"/>
    <n v="209"/>
    <x v="1"/>
    <s v="Delivered"/>
    <n v="8"/>
    <n v="220"/>
    <n v="11"/>
    <n v="41.800000000000004"/>
    <s v="Jan"/>
    <n v="2024"/>
    <s v="Delayed"/>
    <s v="Normal"/>
    <s v="Yes"/>
  </r>
  <r>
    <s v="ORD0092"/>
    <d v="2023-12-07T00:00:00"/>
    <s v="CUST006"/>
    <s v="Rajesh Murugesan"/>
    <x v="15"/>
    <s v="Tamil Nadu"/>
    <x v="1"/>
    <s v="Body Lotion 400ml"/>
    <n v="4"/>
    <n v="260"/>
    <n v="0"/>
    <n v="1040"/>
    <x v="1"/>
    <s v="Cancelled"/>
    <n v="0"/>
    <n v="1040"/>
    <n v="0"/>
    <n v="208"/>
    <s v="Dec"/>
    <n v="2023"/>
    <s v="Fast"/>
    <s v="Normal"/>
    <s v="No"/>
  </r>
  <r>
    <s v="ORD0093"/>
    <d v="2024-02-01T00:00:00"/>
    <s v="CUST079"/>
    <s v="Kumar Murugan"/>
    <x v="22"/>
    <s v="Tamil Nadu"/>
    <x v="7"/>
    <s v="Scientific Calculator"/>
    <n v="3"/>
    <n v="750"/>
    <n v="0"/>
    <n v="2250"/>
    <x v="3"/>
    <s v="Cancelled"/>
    <n v="0"/>
    <n v="2250"/>
    <n v="0"/>
    <n v="450"/>
    <s v="Feb"/>
    <n v="2024"/>
    <s v="Fast"/>
    <s v="Normal"/>
    <s v="No"/>
  </r>
  <r>
    <s v="ORD0094"/>
    <d v="2023-12-28T00:00:00"/>
    <s v="CUST028"/>
    <s v="Vanitha Krishnan"/>
    <x v="18"/>
    <s v="Tamil Nadu"/>
    <x v="6"/>
    <s v="Water Purifier RO"/>
    <n v="3"/>
    <n v="9500"/>
    <n v="10"/>
    <n v="25650"/>
    <x v="3"/>
    <s v="Delivered"/>
    <n v="10"/>
    <n v="28500"/>
    <n v="2850"/>
    <n v="5130"/>
    <s v="Dec"/>
    <n v="2023"/>
    <s v="Delayed"/>
    <s v="High Value"/>
    <s v="No"/>
  </r>
  <r>
    <s v="ORD0095"/>
    <d v="2024-04-26T00:00:00"/>
    <s v="CUST024"/>
    <s v="Ashwini Venkatesh"/>
    <x v="1"/>
    <s v="Tamil Nadu"/>
    <x v="6"/>
    <s v="Induction Cooktop"/>
    <n v="3"/>
    <n v="2200"/>
    <n v="0"/>
    <n v="6600"/>
    <x v="0"/>
    <s v="Delivered"/>
    <n v="8"/>
    <n v="6600"/>
    <n v="0"/>
    <n v="1320"/>
    <s v="Apr"/>
    <n v="2024"/>
    <s v="Delayed"/>
    <s v="High Value"/>
    <s v="No"/>
  </r>
  <r>
    <s v="ORD0096"/>
    <d v="2023-01-10T00:00:00"/>
    <s v="CUST028"/>
    <s v="Vanitha Krishnan"/>
    <x v="18"/>
    <s v="Tamil Nadu"/>
    <x v="1"/>
    <s v="Hair Oil 200ml"/>
    <n v="2"/>
    <n v="140"/>
    <n v="10"/>
    <n v="252"/>
    <x v="5"/>
    <s v="Delivered"/>
    <n v="8"/>
    <n v="280"/>
    <n v="28"/>
    <n v="50.400000000000006"/>
    <s v="Jan"/>
    <n v="2023"/>
    <s v="Delayed"/>
    <s v="Normal"/>
    <s v="No"/>
  </r>
  <r>
    <s v="ORD0097"/>
    <d v="2024-04-13T00:00:00"/>
    <s v="CUST063"/>
    <s v="Indira Pandian"/>
    <x v="19"/>
    <s v="Maharashtra"/>
    <x v="7"/>
    <s v="Data Science Handbook"/>
    <n v="2"/>
    <n v="599"/>
    <n v="5"/>
    <n v="1138.0999999999999"/>
    <x v="4"/>
    <s v="Delivered"/>
    <n v="8"/>
    <n v="1198"/>
    <n v="59.900000000000006"/>
    <n v="227.62"/>
    <s v="Apr"/>
    <n v="2024"/>
    <s v="Delayed"/>
    <s v="Normal"/>
    <s v="Yes"/>
  </r>
  <r>
    <s v="ORD0098"/>
    <d v="2023-07-08T00:00:00"/>
    <s v="CUST047"/>
    <s v="Ponmani Raj"/>
    <x v="7"/>
    <s v="Tamil Nadu"/>
    <x v="0"/>
    <s v="Cricket Bat Kashmir Willow"/>
    <n v="3"/>
    <n v="1800"/>
    <n v="5"/>
    <n v="5130"/>
    <x v="1"/>
    <s v="Delivered"/>
    <n v="3"/>
    <n v="5400"/>
    <n v="270"/>
    <n v="1026"/>
    <s v="Jul"/>
    <n v="2023"/>
    <s v="Fast"/>
    <s v="High Value"/>
    <s v="Yes"/>
  </r>
  <r>
    <s v="ORD0099"/>
    <d v="2024-01-07T00:00:00"/>
    <s v="CUST041"/>
    <s v="Mohan Annamalai"/>
    <x v="18"/>
    <s v="Tamil Nadu"/>
    <x v="6"/>
    <s v="Non-Stick Pan"/>
    <n v="4"/>
    <n v="850"/>
    <n v="0"/>
    <n v="3400"/>
    <x v="2"/>
    <s v="Delivered"/>
    <n v="2"/>
    <n v="3400"/>
    <n v="0"/>
    <n v="680"/>
    <s v="Jan"/>
    <n v="2024"/>
    <s v="Fast"/>
    <s v="Normal"/>
    <s v="Yes"/>
  </r>
  <r>
    <s v="ORD0100"/>
    <d v="2024-01-07T00:00:00"/>
    <s v="CUST013"/>
    <s v="Shalini Ramachandran"/>
    <x v="1"/>
    <s v="Tamil Nadu"/>
    <x v="1"/>
    <s v="Body Lotion 400ml"/>
    <n v="4"/>
    <n v="260"/>
    <n v="0"/>
    <n v="1040"/>
    <x v="1"/>
    <s v="Delivered"/>
    <n v="3"/>
    <n v="1040"/>
    <n v="0"/>
    <n v="208"/>
    <s v="Jan"/>
    <n v="2024"/>
    <s v="Fast"/>
    <s v="Normal"/>
    <s v="Yes"/>
  </r>
  <r>
    <s v="ORD0101"/>
    <d v="2024-03-22T00:00:00"/>
    <s v="CUST056"/>
    <s v="Ashok Chinnaswamy"/>
    <x v="16"/>
    <s v="Tamil Nadu"/>
    <x v="5"/>
    <s v="Smartphone"/>
    <n v="1"/>
    <n v="18000"/>
    <n v="10"/>
    <n v="16200"/>
    <x v="3"/>
    <s v="Returned"/>
    <n v="1"/>
    <n v="18000"/>
    <n v="1800"/>
    <n v="3240"/>
    <s v="Mar"/>
    <n v="2024"/>
    <s v="Fast"/>
    <s v="High Value"/>
    <s v="No"/>
  </r>
  <r>
    <s v="ORD0102"/>
    <d v="2023-05-09T00:00:00"/>
    <s v="CUST028"/>
    <s v="Vanitha Krishnan"/>
    <x v="18"/>
    <s v="Tamil Nadu"/>
    <x v="4"/>
    <s v="Women's Kurti"/>
    <n v="2"/>
    <n v="850"/>
    <n v="10"/>
    <n v="1530"/>
    <x v="2"/>
    <s v="Cancelled"/>
    <n v="0"/>
    <n v="1700"/>
    <n v="170"/>
    <n v="306"/>
    <s v="May"/>
    <n v="2023"/>
    <s v="Fast"/>
    <s v="Normal"/>
    <s v="No"/>
  </r>
  <r>
    <s v="ORD0103"/>
    <d v="2023-11-13T00:00:00"/>
    <s v="CUST099"/>
    <s v="Tamil Mani"/>
    <x v="19"/>
    <s v="Maharashtra"/>
    <x v="5"/>
    <s v="Smart TV"/>
    <n v="3"/>
    <n v="28000"/>
    <n v="0"/>
    <n v="84000"/>
    <x v="2"/>
    <s v="Returned"/>
    <n v="3"/>
    <n v="84000"/>
    <n v="0"/>
    <n v="16800"/>
    <s v="Nov"/>
    <n v="2023"/>
    <s v="Fast"/>
    <s v="High Value"/>
    <s v="No"/>
  </r>
  <r>
    <s v="ORD0104"/>
    <d v="2023-03-18T00:00:00"/>
    <s v="CUST081"/>
    <s v="Anita Iyer"/>
    <x v="2"/>
    <s v="Tamil Nadu"/>
    <x v="5"/>
    <s v="Smart TV"/>
    <n v="1"/>
    <n v="28000"/>
    <n v="0"/>
    <n v="28000"/>
    <x v="2"/>
    <s v="Delivered"/>
    <n v="3"/>
    <n v="28000"/>
    <n v="0"/>
    <n v="5600"/>
    <s v="Mar"/>
    <n v="2023"/>
    <s v="Fast"/>
    <s v="High Value"/>
    <s v="Yes"/>
  </r>
  <r>
    <s v="ORD0105"/>
    <d v="2024-06-10T00:00:00"/>
    <s v="CUST008"/>
    <s v="Sridhar Venkatesh"/>
    <x v="14"/>
    <s v="Maharashtra"/>
    <x v="2"/>
    <s v="Kids Drawing Kit"/>
    <n v="4"/>
    <n v="320"/>
    <n v="5"/>
    <n v="1216"/>
    <x v="0"/>
    <s v="Returned"/>
    <n v="1"/>
    <n v="1280"/>
    <n v="64"/>
    <n v="243.20000000000002"/>
    <s v="Jun"/>
    <n v="2024"/>
    <s v="Fast"/>
    <s v="Normal"/>
    <s v="No"/>
  </r>
  <r>
    <s v="ORD0106"/>
    <d v="2023-06-05T00:00:00"/>
    <s v="CUST031"/>
    <s v="Girija Iyer"/>
    <x v="12"/>
    <s v="Tamil Nadu"/>
    <x v="0"/>
    <s v="Football Size5"/>
    <n v="1"/>
    <n v="800"/>
    <n v="5"/>
    <n v="760"/>
    <x v="2"/>
    <s v="Cancelled"/>
    <n v="0"/>
    <n v="800"/>
    <n v="40"/>
    <n v="152"/>
    <s v="Jun"/>
    <n v="2023"/>
    <s v="Fast"/>
    <s v="Normal"/>
    <s v="No"/>
  </r>
  <r>
    <s v="ORD0107"/>
    <d v="2023-09-15T00:00:00"/>
    <s v="CUST078"/>
    <s v="Shanthi Venkatesh"/>
    <x v="17"/>
    <s v="Kerala"/>
    <x v="4"/>
    <s v="Leggings"/>
    <n v="1"/>
    <n v="499"/>
    <n v="10"/>
    <n v="449.1"/>
    <x v="1"/>
    <s v="Delivered"/>
    <n v="2"/>
    <n v="499"/>
    <n v="49.900000000000006"/>
    <n v="89.820000000000007"/>
    <s v="Sep"/>
    <n v="2023"/>
    <s v="Fast"/>
    <s v="Normal"/>
    <s v="No"/>
  </r>
  <r>
    <s v="ORD0108"/>
    <d v="2023-10-27T00:00:00"/>
    <s v="CUST082"/>
    <s v="Ajay Venkatesh"/>
    <x v="9"/>
    <s v="Tamil Nadu"/>
    <x v="4"/>
    <s v="Casual Dress"/>
    <n v="1"/>
    <n v="1100"/>
    <n v="20"/>
    <n v="880"/>
    <x v="5"/>
    <s v="Delivered"/>
    <n v="3"/>
    <n v="1100"/>
    <n v="220"/>
    <n v="176"/>
    <s v="Oct"/>
    <n v="2023"/>
    <s v="Fast"/>
    <s v="Normal"/>
    <s v="No"/>
  </r>
  <r>
    <s v="ORD0109"/>
    <d v="2024-06-29T00:00:00"/>
    <s v="CUST082"/>
    <s v="Ajay Venkatesh"/>
    <x v="9"/>
    <s v="Tamil Nadu"/>
    <x v="5"/>
    <s v="Smart Watch"/>
    <n v="1"/>
    <n v="8000"/>
    <n v="15"/>
    <n v="6800"/>
    <x v="1"/>
    <s v="Cancelled"/>
    <n v="0"/>
    <n v="8000"/>
    <n v="1200"/>
    <n v="1360"/>
    <s v="Jun"/>
    <n v="2024"/>
    <s v="Fast"/>
    <s v="High Value"/>
    <s v="Yes"/>
  </r>
  <r>
    <s v="ORD0110"/>
    <d v="2023-12-23T00:00:00"/>
    <s v="CUST025"/>
    <s v="Vasanth Sundaram"/>
    <x v="22"/>
    <s v="Tamil Nadu"/>
    <x v="7"/>
    <s v="Highlighters Set"/>
    <n v="1"/>
    <n v="180"/>
    <n v="20"/>
    <n v="144"/>
    <x v="2"/>
    <s v="Delivered"/>
    <n v="9"/>
    <n v="180"/>
    <n v="36"/>
    <n v="28.8"/>
    <s v="Dec"/>
    <n v="2023"/>
    <s v="Delayed"/>
    <s v="Normal"/>
    <s v="Yes"/>
  </r>
  <r>
    <s v="ORD0111"/>
    <d v="2023-05-10T00:00:00"/>
    <s v="CUST064"/>
    <s v="Gopal Palanisamy"/>
    <x v="12"/>
    <s v="Tamil Nadu"/>
    <x v="7"/>
    <s v="Highlighters Set"/>
    <n v="4"/>
    <n v="180"/>
    <n v="15"/>
    <n v="612"/>
    <x v="0"/>
    <s v="Pending"/>
    <n v="2"/>
    <n v="720"/>
    <n v="108"/>
    <n v="122.4"/>
    <s v="May"/>
    <n v="2023"/>
    <s v="Fast"/>
    <s v="Normal"/>
    <s v="No"/>
  </r>
  <r>
    <s v="ORD0112"/>
    <d v="2023-04-29T00:00:00"/>
    <s v="CUST066"/>
    <s v="Ranjith Gopal"/>
    <x v="21"/>
    <s v="Karnataka"/>
    <x v="1"/>
    <s v="Lipstick"/>
    <n v="1"/>
    <n v="280"/>
    <n v="5"/>
    <n v="266"/>
    <x v="0"/>
    <s v="Delivered"/>
    <n v="7"/>
    <n v="280"/>
    <n v="14"/>
    <n v="53.2"/>
    <s v="Apr"/>
    <n v="2023"/>
    <s v="Delayed"/>
    <s v="Normal"/>
    <s v="Yes"/>
  </r>
  <r>
    <s v="ORD0113"/>
    <d v="2024-01-16T00:00:00"/>
    <s v="CUST081"/>
    <s v="Anita Iyer"/>
    <x v="2"/>
    <s v="Tamil Nadu"/>
    <x v="7"/>
    <s v="Data Science Handbook"/>
    <n v="1"/>
    <n v="599"/>
    <n v="0"/>
    <n v="599"/>
    <x v="1"/>
    <s v="Delivered"/>
    <n v="6"/>
    <n v="599"/>
    <n v="0"/>
    <n v="119.80000000000001"/>
    <s v="Jan"/>
    <n v="2024"/>
    <s v="Delayed"/>
    <s v="Normal"/>
    <s v="No"/>
  </r>
  <r>
    <s v="ORD0114"/>
    <d v="2023-06-02T00:00:00"/>
    <s v="CUST062"/>
    <s v="Vinoth Gopal"/>
    <x v="7"/>
    <s v="Tamil Nadu"/>
    <x v="6"/>
    <s v="Chopping Board"/>
    <n v="3"/>
    <n v="280"/>
    <n v="5"/>
    <n v="798"/>
    <x v="0"/>
    <s v="Cancelled"/>
    <n v="0"/>
    <n v="840"/>
    <n v="42"/>
    <n v="159.60000000000002"/>
    <s v="Jun"/>
    <n v="2023"/>
    <s v="Fast"/>
    <s v="Normal"/>
    <s v="No"/>
  </r>
  <r>
    <s v="ORD0115"/>
    <d v="2023-01-27T00:00:00"/>
    <s v="CUST085"/>
    <s v="Sathish Balakrishnan"/>
    <x v="2"/>
    <s v="Tamil Nadu"/>
    <x v="7"/>
    <s v="Business Analytics"/>
    <n v="1"/>
    <n v="520"/>
    <n v="5"/>
    <n v="494"/>
    <x v="1"/>
    <s v="Delivered"/>
    <n v="9"/>
    <n v="520"/>
    <n v="26"/>
    <n v="98.800000000000011"/>
    <s v="Jan"/>
    <n v="2023"/>
    <s v="Delayed"/>
    <s v="Normal"/>
    <s v="No"/>
  </r>
  <r>
    <s v="ORD0116"/>
    <d v="2023-08-24T00:00:00"/>
    <s v="CUST024"/>
    <s v="Ashwini Venkatesh"/>
    <x v="1"/>
    <s v="Tamil Nadu"/>
    <x v="7"/>
    <s v="Business Analytics"/>
    <n v="3"/>
    <n v="520"/>
    <n v="0"/>
    <n v="1560"/>
    <x v="0"/>
    <s v="Returned"/>
    <n v="3"/>
    <n v="1560"/>
    <n v="0"/>
    <n v="312"/>
    <s v="Aug"/>
    <n v="2023"/>
    <s v="Fast"/>
    <s v="Normal"/>
    <s v="No"/>
  </r>
  <r>
    <s v="ORD0117"/>
    <d v="2023-12-11T00:00:00"/>
    <s v="CUST009"/>
    <s v="Anjali Gopal"/>
    <x v="5"/>
    <s v="Tamil Nadu"/>
    <x v="6"/>
    <s v="Water Purifier RO"/>
    <n v="4"/>
    <n v="9500"/>
    <n v="10"/>
    <n v="34200"/>
    <x v="0"/>
    <s v="Delivered"/>
    <n v="9"/>
    <n v="38000"/>
    <n v="3800"/>
    <n v="6840"/>
    <s v="Dec"/>
    <n v="2023"/>
    <s v="Delayed"/>
    <s v="High Value"/>
    <s v="No"/>
  </r>
  <r>
    <s v="ORD0118"/>
    <d v="2024-01-13T00:00:00"/>
    <s v="CUST085"/>
    <s v="Sathish Balakrishnan"/>
    <x v="2"/>
    <s v="Tamil Nadu"/>
    <x v="0"/>
    <s v="Gym Gloves"/>
    <n v="1"/>
    <n v="550"/>
    <n v="0"/>
    <n v="550"/>
    <x v="2"/>
    <s v="Pending"/>
    <n v="1"/>
    <n v="550"/>
    <n v="0"/>
    <n v="110"/>
    <s v="Jan"/>
    <n v="2024"/>
    <s v="Fast"/>
    <s v="Normal"/>
    <s v="Yes"/>
  </r>
  <r>
    <s v="ORD0119"/>
    <d v="2023-09-21T00:00:00"/>
    <s v="CUST055"/>
    <s v="Aruna Iyer"/>
    <x v="16"/>
    <s v="Tamil Nadu"/>
    <x v="3"/>
    <s v="Sunflower Oil 1L"/>
    <n v="1"/>
    <n v="160"/>
    <n v="10"/>
    <n v="144"/>
    <x v="0"/>
    <s v="Delivered"/>
    <n v="10"/>
    <n v="160"/>
    <n v="16"/>
    <n v="28.8"/>
    <s v="Sep"/>
    <n v="2023"/>
    <s v="Delayed"/>
    <s v="Normal"/>
    <s v="No"/>
  </r>
  <r>
    <s v="ORD0120"/>
    <d v="2023-07-18T00:00:00"/>
    <s v="CUST019"/>
    <s v="Jayashree Mani"/>
    <x v="22"/>
    <s v="Tamil Nadu"/>
    <x v="7"/>
    <s v="Leadership Mindset"/>
    <n v="2"/>
    <n v="350"/>
    <n v="10"/>
    <n v="630"/>
    <x v="5"/>
    <s v="Returned"/>
    <n v="5"/>
    <n v="700"/>
    <n v="70"/>
    <n v="126"/>
    <s v="Jul"/>
    <n v="2023"/>
    <s v="Delayed"/>
    <s v="Normal"/>
    <s v="No"/>
  </r>
  <r>
    <s v="ORD0121"/>
    <d v="2023-12-15T00:00:00"/>
    <s v="CUST025"/>
    <s v="Vasanth Sundaram"/>
    <x v="22"/>
    <s v="Tamil Nadu"/>
    <x v="2"/>
    <s v="Barbie Doll"/>
    <n v="2"/>
    <n v="950"/>
    <n v="10"/>
    <n v="1710"/>
    <x v="0"/>
    <s v="Returned"/>
    <n v="2"/>
    <n v="1900"/>
    <n v="190"/>
    <n v="342"/>
    <s v="Dec"/>
    <n v="2023"/>
    <s v="Fast"/>
    <s v="Normal"/>
    <s v="No"/>
  </r>
  <r>
    <s v="ORD0122"/>
    <d v="2023-09-18T00:00:00"/>
    <s v="CUST033"/>
    <s v="Anita Pillai"/>
    <x v="2"/>
    <s v="Tamil Nadu"/>
    <x v="5"/>
    <s v="Webcam"/>
    <n v="3"/>
    <n v="2200"/>
    <n v="5"/>
    <n v="6270"/>
    <x v="5"/>
    <s v="Delivered"/>
    <n v="9"/>
    <n v="6600"/>
    <n v="330"/>
    <n v="1254"/>
    <s v="Sep"/>
    <n v="2023"/>
    <s v="Delayed"/>
    <s v="High Value"/>
    <s v="No"/>
  </r>
  <r>
    <s v="ORD0123"/>
    <d v="2023-07-31T00:00:00"/>
    <s v="CUST058"/>
    <s v="Ashok Chinnaswamy"/>
    <x v="2"/>
    <s v="Tamil Nadu"/>
    <x v="5"/>
    <s v="Smart TV"/>
    <n v="2"/>
    <n v="28000"/>
    <n v="0"/>
    <n v="56000"/>
    <x v="2"/>
    <s v="Delivered"/>
    <n v="7"/>
    <n v="56000"/>
    <n v="0"/>
    <n v="11200"/>
    <s v="Jul"/>
    <n v="2023"/>
    <s v="Delayed"/>
    <s v="High Value"/>
    <s v="No"/>
  </r>
  <r>
    <s v="ORD0124"/>
    <d v="2023-06-29T00:00:00"/>
    <s v="CUST013"/>
    <s v="Shalini Ramachandran"/>
    <x v="1"/>
    <s v="Tamil Nadu"/>
    <x v="0"/>
    <s v="Cricket Bat Kashmir Willow"/>
    <n v="3"/>
    <n v="1800"/>
    <n v="10"/>
    <n v="4860"/>
    <x v="3"/>
    <s v="Delivered"/>
    <n v="10"/>
    <n v="5400"/>
    <n v="540"/>
    <n v="972"/>
    <s v="Jun"/>
    <n v="2023"/>
    <s v="Delayed"/>
    <s v="Normal"/>
    <s v="No"/>
  </r>
  <r>
    <s v="ORD0125"/>
    <d v="2023-03-30T00:00:00"/>
    <s v="CUST085"/>
    <s v="Sathish Balakrishnan"/>
    <x v="2"/>
    <s v="Tamil Nadu"/>
    <x v="0"/>
    <s v="Football Size5"/>
    <n v="4"/>
    <n v="800"/>
    <n v="15"/>
    <n v="2720"/>
    <x v="2"/>
    <s v="Returned"/>
    <n v="1"/>
    <n v="3200"/>
    <n v="480"/>
    <n v="544"/>
    <s v="Mar"/>
    <n v="2023"/>
    <s v="Fast"/>
    <s v="Normal"/>
    <s v="No"/>
  </r>
  <r>
    <s v="ORD0126"/>
    <d v="2023-07-08T00:00:00"/>
    <s v="CUST059"/>
    <s v="Sridhar Balakrishnan"/>
    <x v="20"/>
    <s v="Tamil Nadu"/>
    <x v="2"/>
    <s v="Play-Doh Set"/>
    <n v="4"/>
    <n v="280"/>
    <n v="0"/>
    <n v="1120"/>
    <x v="4"/>
    <s v="Delivered"/>
    <n v="4"/>
    <n v="1120"/>
    <n v="0"/>
    <n v="224"/>
    <s v="Jul"/>
    <n v="2023"/>
    <s v="Delayed"/>
    <s v="Normal"/>
    <s v="Yes"/>
  </r>
  <r>
    <s v="ORD0127"/>
    <d v="2023-09-09T00:00:00"/>
    <s v="CUST019"/>
    <s v="Jayashree Mani"/>
    <x v="22"/>
    <s v="Tamil Nadu"/>
    <x v="5"/>
    <s v="Laptop"/>
    <n v="4"/>
    <n v="45000"/>
    <n v="0"/>
    <n v="180000"/>
    <x v="1"/>
    <s v="Delivered"/>
    <n v="7"/>
    <n v="180000"/>
    <n v="0"/>
    <n v="36000"/>
    <s v="Sep"/>
    <n v="2023"/>
    <s v="Delayed"/>
    <s v="High Value"/>
    <s v="Yes"/>
  </r>
  <r>
    <s v="ORD0128"/>
    <d v="2023-06-19T00:00:00"/>
    <s v="CUST004"/>
    <s v="Rubesh Prabhu"/>
    <x v="17"/>
    <s v="Kerala"/>
    <x v="1"/>
    <s v="Foundation"/>
    <n v="1"/>
    <n v="650"/>
    <n v="20"/>
    <n v="520"/>
    <x v="5"/>
    <s v="Delivered"/>
    <n v="10"/>
    <n v="650"/>
    <n v="130"/>
    <n v="104"/>
    <s v="Jun"/>
    <n v="2023"/>
    <s v="Delayed"/>
    <s v="Normal"/>
    <s v="No"/>
  </r>
  <r>
    <s v="ORD0129"/>
    <d v="2023-05-08T00:00:00"/>
    <s v="CUST022"/>
    <s v="Senthil Balakrishnan"/>
    <x v="7"/>
    <s v="Tamil Nadu"/>
    <x v="6"/>
    <s v="Non-Stick Pan"/>
    <n v="1"/>
    <n v="850"/>
    <n v="0"/>
    <n v="850"/>
    <x v="1"/>
    <s v="Pending"/>
    <n v="4"/>
    <n v="850"/>
    <n v="0"/>
    <n v="170"/>
    <s v="May"/>
    <n v="2023"/>
    <s v="Delayed"/>
    <s v="Normal"/>
    <s v="No"/>
  </r>
  <r>
    <s v="ORD0130"/>
    <d v="2024-01-29T00:00:00"/>
    <s v="CUST035"/>
    <s v="Kalpana Chandran"/>
    <x v="23"/>
    <s v="Tamil Nadu"/>
    <x v="0"/>
    <s v="Football Size5"/>
    <n v="4"/>
    <n v="800"/>
    <n v="20"/>
    <n v="2560"/>
    <x v="0"/>
    <s v="Pending"/>
    <n v="1"/>
    <n v="3200"/>
    <n v="640"/>
    <n v="512"/>
    <s v="Jan"/>
    <n v="2024"/>
    <s v="Fast"/>
    <s v="Normal"/>
    <s v="No"/>
  </r>
  <r>
    <s v="ORD0131"/>
    <d v="2024-05-31T00:00:00"/>
    <s v="CUST029"/>
    <s v="Prasad Venkatesh"/>
    <x v="12"/>
    <s v="Tamil Nadu"/>
    <x v="1"/>
    <s v="Shampoo 400ml"/>
    <n v="4"/>
    <n v="220"/>
    <n v="0"/>
    <n v="880"/>
    <x v="0"/>
    <s v="Delivered"/>
    <n v="4"/>
    <n v="880"/>
    <n v="0"/>
    <n v="176"/>
    <s v="May"/>
    <n v="2024"/>
    <s v="Delayed"/>
    <s v="Normal"/>
    <s v="No"/>
  </r>
  <r>
    <s v="ORD0132"/>
    <d v="2023-02-18T00:00:00"/>
    <s v="CUST072"/>
    <s v="Nisha Kumar"/>
    <x v="22"/>
    <s v="Tamil Nadu"/>
    <x v="2"/>
    <s v="Remote Control Car"/>
    <n v="1"/>
    <n v="1200"/>
    <n v="0"/>
    <n v="1200"/>
    <x v="0"/>
    <s v="Delivered"/>
    <n v="9"/>
    <n v="1200"/>
    <n v="0"/>
    <n v="240"/>
    <s v="Feb"/>
    <n v="2023"/>
    <s v="Delayed"/>
    <s v="Normal"/>
    <s v="Yes"/>
  </r>
  <r>
    <s v="ORD0133"/>
    <d v="2023-06-14T00:00:00"/>
    <s v="CUST032"/>
    <s v="Indira Rangasamy"/>
    <x v="0"/>
    <s v="Tamil Nadu"/>
    <x v="0"/>
    <s v="Dumbbell Pair 5kg"/>
    <n v="4"/>
    <n v="1200"/>
    <n v="0"/>
    <n v="4800"/>
    <x v="2"/>
    <s v="Returned"/>
    <n v="2"/>
    <n v="4800"/>
    <n v="0"/>
    <n v="960"/>
    <s v="Jun"/>
    <n v="2023"/>
    <s v="Fast"/>
    <s v="Normal"/>
    <s v="No"/>
  </r>
  <r>
    <s v="ORD0134"/>
    <d v="2023-01-09T00:00:00"/>
    <s v="CUST076"/>
    <s v="Selvam Chinnaswamy"/>
    <x v="13"/>
    <s v="Tamil Nadu"/>
    <x v="4"/>
    <s v="Women's Kurti"/>
    <n v="4"/>
    <n v="850"/>
    <n v="0"/>
    <n v="3400"/>
    <x v="0"/>
    <s v="Delivered"/>
    <n v="7"/>
    <n v="3400"/>
    <n v="0"/>
    <n v="680"/>
    <s v="Jan"/>
    <n v="2023"/>
    <s v="Delayed"/>
    <s v="Normal"/>
    <s v="No"/>
  </r>
  <r>
    <s v="ORD0135"/>
    <d v="2024-03-04T00:00:00"/>
    <s v="CUST097"/>
    <s v="Aarav Ramasamy"/>
    <x v="3"/>
    <s v="Tamil Nadu"/>
    <x v="6"/>
    <s v="Non-Stick Pan"/>
    <n v="1"/>
    <n v="850"/>
    <n v="0"/>
    <n v="850"/>
    <x v="5"/>
    <s v="Delivered"/>
    <n v="3"/>
    <n v="850"/>
    <n v="0"/>
    <n v="170"/>
    <s v="Mar"/>
    <n v="2024"/>
    <s v="Fast"/>
    <s v="Normal"/>
    <s v="No"/>
  </r>
  <r>
    <s v="ORD0136"/>
    <d v="2023-11-02T00:00:00"/>
    <s v="CUST060"/>
    <s v="Balaji Natarajan"/>
    <x v="20"/>
    <s v="Tamil Nadu"/>
    <x v="6"/>
    <s v="Dinner Set 24pcs"/>
    <n v="1"/>
    <n v="1800"/>
    <n v="20"/>
    <n v="1440"/>
    <x v="3"/>
    <s v="Delivered"/>
    <n v="6"/>
    <n v="1800"/>
    <n v="360"/>
    <n v="288"/>
    <s v="Nov"/>
    <n v="2023"/>
    <s v="Delayed"/>
    <s v="Normal"/>
    <s v="No"/>
  </r>
  <r>
    <s v="ORD0137"/>
    <d v="2024-03-21T00:00:00"/>
    <s v="CUST004"/>
    <s v="Rubesh Prabhu"/>
    <x v="17"/>
    <s v="Kerala"/>
    <x v="3"/>
    <s v="Green Tea 25bags"/>
    <n v="3"/>
    <n v="180"/>
    <n v="0"/>
    <n v="540"/>
    <x v="5"/>
    <s v="Delivered"/>
    <n v="2"/>
    <n v="540"/>
    <n v="0"/>
    <n v="108"/>
    <s v="Mar"/>
    <n v="2024"/>
    <s v="Fast"/>
    <s v="Normal"/>
    <s v="No"/>
  </r>
  <r>
    <s v="ORD0138"/>
    <d v="2023-08-05T00:00:00"/>
    <s v="CUST094"/>
    <s v="Ashok Perumal"/>
    <x v="3"/>
    <s v="Tamil Nadu"/>
    <x v="2"/>
    <s v="Play-Doh Set"/>
    <n v="2"/>
    <n v="280"/>
    <n v="5"/>
    <n v="532"/>
    <x v="4"/>
    <s v="Delivered"/>
    <n v="8"/>
    <n v="560"/>
    <n v="28"/>
    <n v="106.4"/>
    <s v="Aug"/>
    <n v="2023"/>
    <s v="Delayed"/>
    <s v="Normal"/>
    <s v="Yes"/>
  </r>
  <r>
    <s v="ORD0139"/>
    <d v="2023-04-14T00:00:00"/>
    <s v="CUST049"/>
    <s v="Oviya Babu"/>
    <x v="3"/>
    <s v="Tamil Nadu"/>
    <x v="3"/>
    <s v="Honey 500g"/>
    <n v="2"/>
    <n v="350"/>
    <n v="10"/>
    <n v="630"/>
    <x v="1"/>
    <s v="Cancelled"/>
    <n v="0"/>
    <n v="700"/>
    <n v="70"/>
    <n v="126"/>
    <s v="Apr"/>
    <n v="2023"/>
    <s v="Fast"/>
    <s v="Normal"/>
    <s v="No"/>
  </r>
  <r>
    <s v="ORD0140"/>
    <d v="2023-04-13T00:00:00"/>
    <s v="CUST076"/>
    <s v="Selvam Chinnaswamy"/>
    <x v="13"/>
    <s v="Tamil Nadu"/>
    <x v="3"/>
    <s v="Basmati Rice 5kg"/>
    <n v="2"/>
    <n v="320"/>
    <n v="10"/>
    <n v="576"/>
    <x v="5"/>
    <s v="Returned"/>
    <n v="3"/>
    <n v="640"/>
    <n v="64"/>
    <n v="115.2"/>
    <s v="Apr"/>
    <n v="2023"/>
    <s v="Fast"/>
    <s v="Normal"/>
    <s v="No"/>
  </r>
  <r>
    <s v="ORD0141"/>
    <d v="2023-03-30T00:00:00"/>
    <s v="CUST028"/>
    <s v="Vanitha Krishnan"/>
    <x v="18"/>
    <s v="Tamil Nadu"/>
    <x v="2"/>
    <s v="LEGO Classic Set"/>
    <n v="3"/>
    <n v="1800"/>
    <n v="5"/>
    <n v="5130"/>
    <x v="2"/>
    <s v="Pending"/>
    <n v="1"/>
    <n v="5400"/>
    <n v="270"/>
    <n v="1026"/>
    <s v="Mar"/>
    <n v="2023"/>
    <s v="Fast"/>
    <s v="High Value"/>
    <s v="No"/>
  </r>
  <r>
    <s v="ORD0142"/>
    <d v="2024-04-12T00:00:00"/>
    <s v="CUST072"/>
    <s v="Nisha Kumar"/>
    <x v="22"/>
    <s v="Tamil Nadu"/>
    <x v="7"/>
    <s v="Data Science Handbook"/>
    <n v="3"/>
    <n v="599"/>
    <n v="15"/>
    <n v="1527.45"/>
    <x v="3"/>
    <s v="Delivered"/>
    <n v="6"/>
    <n v="1797"/>
    <n v="269.55"/>
    <n v="305.49"/>
    <s v="Apr"/>
    <n v="2024"/>
    <s v="Delayed"/>
    <s v="Normal"/>
    <s v="No"/>
  </r>
  <r>
    <s v="ORD0143"/>
    <d v="2023-09-05T00:00:00"/>
    <s v="CUST097"/>
    <s v="Aarav Ramasamy"/>
    <x v="3"/>
    <s v="Tamil Nadu"/>
    <x v="6"/>
    <s v="Chopping Board"/>
    <n v="2"/>
    <n v="280"/>
    <n v="0"/>
    <n v="560"/>
    <x v="2"/>
    <s v="Pending"/>
    <n v="1"/>
    <n v="560"/>
    <n v="0"/>
    <n v="112"/>
    <s v="Sep"/>
    <n v="2023"/>
    <s v="Fast"/>
    <s v="Normal"/>
    <s v="No"/>
  </r>
  <r>
    <s v="ORD0144"/>
    <d v="2023-10-08T00:00:00"/>
    <s v="CUST084"/>
    <s v="Pooja Velayutham"/>
    <x v="4"/>
    <s v="Telangana"/>
    <x v="3"/>
    <s v="Green Tea 25bags"/>
    <n v="3"/>
    <n v="180"/>
    <n v="5"/>
    <n v="513"/>
    <x v="3"/>
    <s v="Returned"/>
    <n v="4"/>
    <n v="540"/>
    <n v="27"/>
    <n v="102.60000000000001"/>
    <s v="Oct"/>
    <n v="2023"/>
    <s v="Delayed"/>
    <s v="Normal"/>
    <s v="Yes"/>
  </r>
  <r>
    <s v="ORD0145"/>
    <d v="2023-03-09T00:00:00"/>
    <s v="CUST012"/>
    <s v="Jayashree Mani"/>
    <x v="13"/>
    <s v="Tamil Nadu"/>
    <x v="7"/>
    <s v="Highlighters Set"/>
    <n v="3"/>
    <n v="180"/>
    <n v="5"/>
    <n v="513"/>
    <x v="1"/>
    <s v="Delivered"/>
    <n v="9"/>
    <n v="540"/>
    <n v="27"/>
    <n v="102.60000000000001"/>
    <s v="Mar"/>
    <n v="2023"/>
    <s v="Delayed"/>
    <s v="Normal"/>
    <s v="No"/>
  </r>
  <r>
    <s v="ORD0146"/>
    <d v="2024-02-16T00:00:00"/>
    <s v="CUST079"/>
    <s v="Kumar Murugan"/>
    <x v="22"/>
    <s v="Tamil Nadu"/>
    <x v="0"/>
    <s v="Football Size5"/>
    <n v="4"/>
    <n v="800"/>
    <n v="5"/>
    <n v="3040"/>
    <x v="4"/>
    <s v="Delivered"/>
    <n v="3"/>
    <n v="3200"/>
    <n v="160"/>
    <n v="608"/>
    <s v="Feb"/>
    <n v="2024"/>
    <s v="Fast"/>
    <s v="Normal"/>
    <s v="No"/>
  </r>
  <r>
    <s v="ORD0147"/>
    <d v="2024-05-04T00:00:00"/>
    <s v="CUST083"/>
    <s v="Kumar Duraisamy"/>
    <x v="2"/>
    <s v="Tamil Nadu"/>
    <x v="2"/>
    <s v="Board Game Monopoly"/>
    <n v="2"/>
    <n v="800"/>
    <n v="5"/>
    <n v="1520"/>
    <x v="3"/>
    <s v="Delivered"/>
    <n v="10"/>
    <n v="1600"/>
    <n v="80"/>
    <n v="304"/>
    <s v="May"/>
    <n v="2024"/>
    <s v="Delayed"/>
    <s v="Normal"/>
    <s v="Yes"/>
  </r>
  <r>
    <s v="ORD0148"/>
    <d v="2024-06-14T00:00:00"/>
    <s v="CUST082"/>
    <s v="Ajay Venkatesh"/>
    <x v="9"/>
    <s v="Tamil Nadu"/>
    <x v="3"/>
    <s v="Basmati Rice 5kg"/>
    <n v="2"/>
    <n v="320"/>
    <n v="0"/>
    <n v="640"/>
    <x v="3"/>
    <s v="Pending"/>
    <n v="4"/>
    <n v="640"/>
    <n v="0"/>
    <n v="128"/>
    <s v="Jun"/>
    <n v="2024"/>
    <s v="Delayed"/>
    <s v="Normal"/>
    <s v="No"/>
  </r>
  <r>
    <s v="ORD0149"/>
    <d v="2024-05-11T00:00:00"/>
    <s v="CUST022"/>
    <s v="Senthil Balakrishnan"/>
    <x v="7"/>
    <s v="Tamil Nadu"/>
    <x v="5"/>
    <s v="Smart TV"/>
    <n v="3"/>
    <n v="28000"/>
    <n v="0"/>
    <n v="84000"/>
    <x v="5"/>
    <s v="Delivered"/>
    <n v="6"/>
    <n v="84000"/>
    <n v="0"/>
    <n v="16800"/>
    <s v="May"/>
    <n v="2024"/>
    <s v="Delayed"/>
    <s v="High Value"/>
    <s v="Yes"/>
  </r>
  <r>
    <s v="ORD0150"/>
    <d v="2023-01-05T00:00:00"/>
    <s v="CUST020"/>
    <s v="Indira Raj"/>
    <x v="15"/>
    <s v="Tamil Nadu"/>
    <x v="6"/>
    <s v="Knife Set"/>
    <n v="1"/>
    <n v="650"/>
    <n v="15"/>
    <n v="552.5"/>
    <x v="5"/>
    <s v="Delivered"/>
    <n v="1"/>
    <n v="650"/>
    <n v="97.5"/>
    <n v="110.5"/>
    <s v="Jan"/>
    <n v="2023"/>
    <s v="Fast"/>
    <s v="Normal"/>
    <s v="No"/>
  </r>
  <r>
    <s v="ORD0151"/>
    <d v="2023-09-02T00:00:00"/>
    <s v="CUST045"/>
    <s v="Harish Thangavel"/>
    <x v="2"/>
    <s v="Tamil Nadu"/>
    <x v="0"/>
    <s v="Sports Shoes"/>
    <n v="4"/>
    <n v="2800"/>
    <n v="10"/>
    <n v="10080"/>
    <x v="2"/>
    <s v="Pending"/>
    <n v="2"/>
    <n v="11200"/>
    <n v="1120"/>
    <n v="2016"/>
    <s v="Sep"/>
    <n v="2023"/>
    <s v="Fast"/>
    <s v="High Value"/>
    <s v="Yes"/>
  </r>
  <r>
    <s v="ORD0152"/>
    <d v="2023-08-15T00:00:00"/>
    <s v="CUST099"/>
    <s v="Tamil Mani"/>
    <x v="19"/>
    <s v="Maharashtra"/>
    <x v="2"/>
    <s v="LEGO Classic Set"/>
    <n v="4"/>
    <n v="1800"/>
    <n v="0"/>
    <n v="7200"/>
    <x v="2"/>
    <s v="Delivered"/>
    <n v="9"/>
    <n v="7200"/>
    <n v="0"/>
    <n v="1440"/>
    <s v="Aug"/>
    <n v="2023"/>
    <s v="Delayed"/>
    <s v="High Value"/>
    <s v="No"/>
  </r>
  <r>
    <s v="ORD0153"/>
    <d v="2024-01-20T00:00:00"/>
    <s v="CUST022"/>
    <s v="Senthil Balakrishnan"/>
    <x v="7"/>
    <s v="Tamil Nadu"/>
    <x v="4"/>
    <s v="Formal Trousers"/>
    <n v="4"/>
    <n v="1400"/>
    <n v="15"/>
    <n v="4760"/>
    <x v="0"/>
    <s v="Cancelled"/>
    <n v="0"/>
    <n v="5600"/>
    <n v="840"/>
    <n v="952"/>
    <s v="Jan"/>
    <n v="2024"/>
    <s v="Fast"/>
    <s v="Normal"/>
    <s v="Yes"/>
  </r>
  <r>
    <s v="ORD0154"/>
    <d v="2023-02-07T00:00:00"/>
    <s v="CUST003"/>
    <s v="Muthukumar Mani"/>
    <x v="5"/>
    <s v="Tamil Nadu"/>
    <x v="3"/>
    <s v="Biscuits Pack"/>
    <n v="2"/>
    <n v="40"/>
    <n v="20"/>
    <n v="64"/>
    <x v="5"/>
    <s v="Cancelled"/>
    <n v="0"/>
    <n v="80"/>
    <n v="16"/>
    <n v="12.8"/>
    <s v="Feb"/>
    <n v="2023"/>
    <s v="Fast"/>
    <s v="Normal"/>
    <s v="No"/>
  </r>
  <r>
    <s v="ORD0155"/>
    <d v="2023-12-20T00:00:00"/>
    <s v="CUST007"/>
    <s v="Vijay Gopal"/>
    <x v="9"/>
    <s v="Tamil Nadu"/>
    <x v="4"/>
    <s v="Winter Jacket"/>
    <n v="4"/>
    <n v="3500"/>
    <n v="10"/>
    <n v="12600"/>
    <x v="4"/>
    <s v="Pending"/>
    <n v="4"/>
    <n v="14000"/>
    <n v="1400"/>
    <n v="2520"/>
    <s v="Dec"/>
    <n v="2023"/>
    <s v="Delayed"/>
    <s v="High Value"/>
    <s v="No"/>
  </r>
  <r>
    <s v="ORD0156"/>
    <d v="2023-02-16T00:00:00"/>
    <s v="CUST027"/>
    <s v="Harish Ganesan"/>
    <x v="6"/>
    <s v="Delhi"/>
    <x v="3"/>
    <s v="Almonds 250g"/>
    <n v="3"/>
    <n v="280"/>
    <n v="20"/>
    <n v="672"/>
    <x v="0"/>
    <s v="Delivered"/>
    <n v="7"/>
    <n v="840"/>
    <n v="168"/>
    <n v="134.4"/>
    <s v="Feb"/>
    <n v="2023"/>
    <s v="Delayed"/>
    <s v="Normal"/>
    <s v="No"/>
  </r>
  <r>
    <s v="ORD0157"/>
    <d v="2023-01-10T00:00:00"/>
    <s v="CUST027"/>
    <s v="Harish Ganesan"/>
    <x v="6"/>
    <s v="Delhi"/>
    <x v="7"/>
    <s v="Data Science Handbook"/>
    <n v="3"/>
    <n v="599"/>
    <n v="0"/>
    <n v="1797"/>
    <x v="3"/>
    <s v="Delivered"/>
    <n v="7"/>
    <n v="1797"/>
    <n v="0"/>
    <n v="359.40000000000003"/>
    <s v="Jan"/>
    <n v="2023"/>
    <s v="Delayed"/>
    <s v="Normal"/>
    <s v="No"/>
  </r>
  <r>
    <s v="ORD0158"/>
    <d v="2023-05-18T00:00:00"/>
    <s v="CUST071"/>
    <s v="Revathi Kumar"/>
    <x v="3"/>
    <s v="Tamil Nadu"/>
    <x v="2"/>
    <s v="Soft Toy Bear"/>
    <n v="3"/>
    <n v="350"/>
    <n v="0"/>
    <n v="1050"/>
    <x v="2"/>
    <s v="Delivered"/>
    <n v="1"/>
    <n v="1050"/>
    <n v="0"/>
    <n v="210"/>
    <s v="May"/>
    <n v="2023"/>
    <s v="Fast"/>
    <s v="Normal"/>
    <s v="No"/>
  </r>
  <r>
    <s v="ORD0159"/>
    <d v="2023-03-03T00:00:00"/>
    <s v="CUST074"/>
    <s v="Bharathi Raj"/>
    <x v="8"/>
    <s v="Tamil Nadu"/>
    <x v="0"/>
    <s v="Gym Gloves"/>
    <n v="3"/>
    <n v="550"/>
    <n v="5"/>
    <n v="1567.5"/>
    <x v="2"/>
    <s v="Delivered"/>
    <n v="1"/>
    <n v="1650"/>
    <n v="82.5"/>
    <n v="313.5"/>
    <s v="Mar"/>
    <n v="2023"/>
    <s v="Fast"/>
    <s v="Normal"/>
    <s v="No"/>
  </r>
  <r>
    <s v="ORD0160"/>
    <d v="2024-03-14T00:00:00"/>
    <s v="CUST073"/>
    <s v="Quamar Ramasamy"/>
    <x v="4"/>
    <s v="Telangana"/>
    <x v="7"/>
    <s v="Python Programming"/>
    <n v="4"/>
    <n v="449"/>
    <n v="5"/>
    <n v="1706.2"/>
    <x v="3"/>
    <s v="Delivered"/>
    <n v="2"/>
    <n v="1796"/>
    <n v="89.800000000000011"/>
    <n v="341.24"/>
    <s v="Mar"/>
    <n v="2024"/>
    <s v="Fast"/>
    <s v="Normal"/>
    <s v="No"/>
  </r>
  <r>
    <s v="ORD0161"/>
    <d v="2024-04-26T00:00:00"/>
    <s v="CUST100"/>
    <s v="Tamil Selvam"/>
    <x v="1"/>
    <s v="Tamil Nadu"/>
    <x v="1"/>
    <s v="Perfume 100ml"/>
    <n v="4"/>
    <n v="1200"/>
    <n v="15"/>
    <n v="4080"/>
    <x v="3"/>
    <s v="Delivered"/>
    <n v="2"/>
    <n v="4800"/>
    <n v="720"/>
    <n v="816"/>
    <s v="Apr"/>
    <n v="2024"/>
    <s v="Fast"/>
    <s v="Normal"/>
    <s v="No"/>
  </r>
  <r>
    <s v="ORD0162"/>
    <d v="2023-03-27T00:00:00"/>
    <s v="CUST033"/>
    <s v="Anita Pillai"/>
    <x v="2"/>
    <s v="Tamil Nadu"/>
    <x v="2"/>
    <s v="Baby Walker"/>
    <n v="4"/>
    <n v="2200"/>
    <n v="20"/>
    <n v="7040"/>
    <x v="2"/>
    <s v="Delivered"/>
    <n v="5"/>
    <n v="8800"/>
    <n v="1760"/>
    <n v="1408"/>
    <s v="Mar"/>
    <n v="2023"/>
    <s v="Delayed"/>
    <s v="High Value"/>
    <s v="No"/>
  </r>
  <r>
    <s v="ORD0163"/>
    <d v="2023-03-14T00:00:00"/>
    <s v="CUST051"/>
    <s v="Bhavana Gopal"/>
    <x v="1"/>
    <s v="Tamil Nadu"/>
    <x v="0"/>
    <s v="Yoga Mat 6mm"/>
    <n v="2"/>
    <n v="650"/>
    <n v="10"/>
    <n v="1170"/>
    <x v="2"/>
    <s v="Pending"/>
    <n v="1"/>
    <n v="1300"/>
    <n v="130"/>
    <n v="234"/>
    <s v="Mar"/>
    <n v="2023"/>
    <s v="Fast"/>
    <s v="Normal"/>
    <s v="No"/>
  </r>
  <r>
    <s v="ORD0164"/>
    <d v="2024-06-26T00:00:00"/>
    <s v="CUST099"/>
    <s v="Tamil Mani"/>
    <x v="19"/>
    <s v="Maharashtra"/>
    <x v="7"/>
    <s v="A4 Notebooks Pack5"/>
    <n v="3"/>
    <n v="220"/>
    <n v="5"/>
    <n v="627"/>
    <x v="2"/>
    <s v="Delivered"/>
    <n v="8"/>
    <n v="660"/>
    <n v="33"/>
    <n v="125.4"/>
    <s v="Jun"/>
    <n v="2024"/>
    <s v="Delayed"/>
    <s v="Normal"/>
    <s v="No"/>
  </r>
  <r>
    <s v="ORD0165"/>
    <d v="2024-01-24T00:00:00"/>
    <s v="CUST004"/>
    <s v="Rubesh Prabhu"/>
    <x v="17"/>
    <s v="Kerala"/>
    <x v="4"/>
    <s v="Winter Jacket"/>
    <n v="4"/>
    <n v="3500"/>
    <n v="10"/>
    <n v="12600"/>
    <x v="5"/>
    <s v="Cancelled"/>
    <n v="0"/>
    <n v="14000"/>
    <n v="1400"/>
    <n v="2520"/>
    <s v="Jan"/>
    <n v="2024"/>
    <s v="Fast"/>
    <s v="High Value"/>
    <s v="No"/>
  </r>
  <r>
    <s v="ORD0166"/>
    <d v="2023-10-20T00:00:00"/>
    <s v="CUST058"/>
    <s v="Ashok Chinnaswamy"/>
    <x v="2"/>
    <s v="Tamil Nadu"/>
    <x v="5"/>
    <s v="USB Hub"/>
    <n v="2"/>
    <n v="900"/>
    <n v="0"/>
    <n v="1800"/>
    <x v="5"/>
    <s v="Delivered"/>
    <n v="10"/>
    <n v="1800"/>
    <n v="0"/>
    <n v="360"/>
    <s v="Oct"/>
    <n v="2023"/>
    <s v="Delayed"/>
    <s v="Normal"/>
    <s v="No"/>
  </r>
  <r>
    <s v="ORD0167"/>
    <d v="2024-05-21T00:00:00"/>
    <s v="CUST075"/>
    <s v="Vasanth Velayutham"/>
    <x v="17"/>
    <s v="Kerala"/>
    <x v="6"/>
    <s v="Knife Set"/>
    <n v="2"/>
    <n v="650"/>
    <n v="0"/>
    <n v="1300"/>
    <x v="3"/>
    <s v="Delivered"/>
    <n v="8"/>
    <n v="1300"/>
    <n v="0"/>
    <n v="260"/>
    <s v="May"/>
    <n v="2024"/>
    <s v="Delayed"/>
    <s v="Normal"/>
    <s v="No"/>
  </r>
  <r>
    <s v="ORD0168"/>
    <d v="2023-02-23T00:00:00"/>
    <s v="CUST095"/>
    <s v="Vanitha Natarajan"/>
    <x v="4"/>
    <s v="Telangana"/>
    <x v="7"/>
    <s v="Gel Pens Pack10"/>
    <n v="4"/>
    <n v="85"/>
    <n v="5"/>
    <n v="323"/>
    <x v="1"/>
    <s v="Pending"/>
    <n v="5"/>
    <n v="340"/>
    <n v="17"/>
    <n v="64.600000000000009"/>
    <s v="Feb"/>
    <n v="2023"/>
    <s v="Delayed"/>
    <s v="Normal"/>
    <s v="No"/>
  </r>
  <r>
    <s v="ORD0169"/>
    <d v="2023-03-19T00:00:00"/>
    <s v="CUST069"/>
    <s v="Divya Annamalai"/>
    <x v="21"/>
    <s v="Karnataka"/>
    <x v="1"/>
    <s v="Shampoo 400ml"/>
    <n v="4"/>
    <n v="220"/>
    <n v="0"/>
    <n v="880"/>
    <x v="0"/>
    <s v="Delivered"/>
    <n v="7"/>
    <n v="880"/>
    <n v="0"/>
    <n v="176"/>
    <s v="Mar"/>
    <n v="2023"/>
    <s v="Delayed"/>
    <s v="Normal"/>
    <s v="Yes"/>
  </r>
  <r>
    <s v="ORD0170"/>
    <d v="2023-09-02T00:00:00"/>
    <s v="CUST077"/>
    <s v="Ramesh Venkatesh"/>
    <x v="20"/>
    <s v="Tamil Nadu"/>
    <x v="1"/>
    <s v="Sunscreen SPF50"/>
    <n v="4"/>
    <n v="320"/>
    <n v="0"/>
    <n v="1280"/>
    <x v="2"/>
    <s v="Returned"/>
    <n v="1"/>
    <n v="1280"/>
    <n v="0"/>
    <n v="256"/>
    <s v="Sep"/>
    <n v="2023"/>
    <s v="Fast"/>
    <s v="Normal"/>
    <s v="Yes"/>
  </r>
  <r>
    <s v="ORD0171"/>
    <d v="2024-02-18T00:00:00"/>
    <s v="CUST051"/>
    <s v="Bhavana Gopal"/>
    <x v="1"/>
    <s v="Tamil Nadu"/>
    <x v="7"/>
    <s v="SQL Mastery"/>
    <n v="4"/>
    <n v="380"/>
    <n v="0"/>
    <n v="1520"/>
    <x v="4"/>
    <s v="Returned"/>
    <n v="4"/>
    <n v="1520"/>
    <n v="0"/>
    <n v="304"/>
    <s v="Feb"/>
    <n v="2024"/>
    <s v="Delayed"/>
    <s v="Normal"/>
    <s v="Yes"/>
  </r>
  <r>
    <s v="ORD0172"/>
    <d v="2024-04-09T00:00:00"/>
    <s v="CUST015"/>
    <s v="Muthukumar Iyer"/>
    <x v="12"/>
    <s v="Tamil Nadu"/>
    <x v="3"/>
    <s v="Instant Coffee 100g"/>
    <n v="2"/>
    <n v="220"/>
    <n v="10"/>
    <n v="396"/>
    <x v="0"/>
    <s v="Cancelled"/>
    <n v="0"/>
    <n v="440"/>
    <n v="44"/>
    <n v="79.2"/>
    <s v="Apr"/>
    <n v="2024"/>
    <s v="Fast"/>
    <s v="Normal"/>
    <s v="No"/>
  </r>
  <r>
    <s v="ORD0173"/>
    <d v="2023-12-26T00:00:00"/>
    <s v="CUST015"/>
    <s v="Muthukumar Iyer"/>
    <x v="12"/>
    <s v="Tamil Nadu"/>
    <x v="5"/>
    <s v="USB Hub"/>
    <n v="2"/>
    <n v="900"/>
    <n v="15"/>
    <n v="1530"/>
    <x v="2"/>
    <s v="Delivered"/>
    <n v="6"/>
    <n v="1800"/>
    <n v="270"/>
    <n v="306"/>
    <s v="Dec"/>
    <n v="2023"/>
    <s v="Delayed"/>
    <s v="Normal"/>
    <s v="No"/>
  </r>
  <r>
    <s v="ORD0174"/>
    <d v="2023-11-30T00:00:00"/>
    <s v="CUST079"/>
    <s v="Kumar Murugan"/>
    <x v="22"/>
    <s v="Tamil Nadu"/>
    <x v="5"/>
    <s v="Laptop"/>
    <n v="2"/>
    <n v="45000"/>
    <n v="0"/>
    <n v="90000"/>
    <x v="5"/>
    <s v="Delivered"/>
    <n v="1"/>
    <n v="90000"/>
    <n v="0"/>
    <n v="18000"/>
    <s v="Nov"/>
    <n v="2023"/>
    <s v="Fast"/>
    <s v="High Value"/>
    <s v="No"/>
  </r>
  <r>
    <s v="ORD0175"/>
    <d v="2024-05-14T00:00:00"/>
    <s v="CUST060"/>
    <s v="Balaji Natarajan"/>
    <x v="20"/>
    <s v="Tamil Nadu"/>
    <x v="7"/>
    <s v="Highlighters Set"/>
    <n v="4"/>
    <n v="180"/>
    <n v="5"/>
    <n v="684"/>
    <x v="2"/>
    <s v="Delivered"/>
    <n v="9"/>
    <n v="720"/>
    <n v="36"/>
    <n v="136.80000000000001"/>
    <s v="May"/>
    <n v="2024"/>
    <s v="Delayed"/>
    <s v="Normal"/>
    <s v="No"/>
  </r>
  <r>
    <s v="ORD0176"/>
    <d v="2024-06-25T00:00:00"/>
    <s v="CUST026"/>
    <s v="Rohini Ganesan"/>
    <x v="11"/>
    <s v="Tamil Nadu"/>
    <x v="2"/>
    <s v="Kids Drawing Kit"/>
    <n v="2"/>
    <n v="320"/>
    <n v="15"/>
    <n v="544"/>
    <x v="1"/>
    <s v="Delivered"/>
    <n v="4"/>
    <n v="640"/>
    <n v="96"/>
    <n v="108.80000000000001"/>
    <s v="Jun"/>
    <n v="2024"/>
    <s v="Delayed"/>
    <s v="Normal"/>
    <s v="No"/>
  </r>
  <r>
    <s v="ORD0177"/>
    <d v="2024-03-01T00:00:00"/>
    <s v="CUST036"/>
    <s v="Kavitha Nair"/>
    <x v="8"/>
    <s v="Tamil Nadu"/>
    <x v="6"/>
    <s v="Non-Stick Pan"/>
    <n v="1"/>
    <n v="850"/>
    <n v="0"/>
    <n v="850"/>
    <x v="2"/>
    <s v="Delivered"/>
    <n v="5"/>
    <n v="850"/>
    <n v="0"/>
    <n v="170"/>
    <s v="Mar"/>
    <n v="2024"/>
    <s v="Delayed"/>
    <s v="Normal"/>
    <s v="No"/>
  </r>
  <r>
    <s v="ORD0178"/>
    <d v="2024-04-28T00:00:00"/>
    <s v="CUST048"/>
    <s v="Elavarasi Karuppasamy"/>
    <x v="21"/>
    <s v="Karnataka"/>
    <x v="5"/>
    <s v="Tablet"/>
    <n v="4"/>
    <n v="22000"/>
    <n v="0"/>
    <n v="88000"/>
    <x v="2"/>
    <s v="Delivered"/>
    <n v="5"/>
    <n v="88000"/>
    <n v="0"/>
    <n v="17600"/>
    <s v="Apr"/>
    <n v="2024"/>
    <s v="Delayed"/>
    <s v="High Value"/>
    <s v="Yes"/>
  </r>
  <r>
    <s v="ORD0179"/>
    <d v="2023-10-11T00:00:00"/>
    <s v="CUST067"/>
    <s v="Usha Srinivasan"/>
    <x v="4"/>
    <s v="Telangana"/>
    <x v="6"/>
    <s v="Non-Stick Pan"/>
    <n v="4"/>
    <n v="850"/>
    <n v="10"/>
    <n v="3060"/>
    <x v="0"/>
    <s v="Returned"/>
    <n v="5"/>
    <n v="3400"/>
    <n v="340"/>
    <n v="612"/>
    <s v="Oct"/>
    <n v="2023"/>
    <s v="Delayed"/>
    <s v="Normal"/>
    <s v="No"/>
  </r>
  <r>
    <s v="ORD0180"/>
    <d v="2023-09-10T00:00:00"/>
    <s v="CUST012"/>
    <s v="Jayashree Mani"/>
    <x v="13"/>
    <s v="Tamil Nadu"/>
    <x v="6"/>
    <s v="Knife Set"/>
    <n v="1"/>
    <n v="650"/>
    <n v="5"/>
    <n v="617.5"/>
    <x v="0"/>
    <s v="Pending"/>
    <n v="2"/>
    <n v="650"/>
    <n v="32.5"/>
    <n v="123.5"/>
    <s v="Sep"/>
    <n v="2023"/>
    <s v="Fast"/>
    <s v="Normal"/>
    <s v="Yes"/>
  </r>
  <r>
    <s v="ORD0181"/>
    <d v="2024-04-21T00:00:00"/>
    <s v="CUST064"/>
    <s v="Gopal Palanisamy"/>
    <x v="12"/>
    <s v="Tamil Nadu"/>
    <x v="1"/>
    <s v="Body Lotion 400ml"/>
    <n v="3"/>
    <n v="260"/>
    <n v="0"/>
    <n v="780"/>
    <x v="2"/>
    <s v="Delivered"/>
    <n v="4"/>
    <n v="780"/>
    <n v="0"/>
    <n v="156"/>
    <s v="Apr"/>
    <n v="2024"/>
    <s v="Delayed"/>
    <s v="Normal"/>
    <s v="Yes"/>
  </r>
  <r>
    <s v="ORD0182"/>
    <d v="2024-01-31T00:00:00"/>
    <s v="CUST014"/>
    <s v="Rajesh Velayutham"/>
    <x v="3"/>
    <s v="Tamil Nadu"/>
    <x v="0"/>
    <s v="Dumbbell Pair 5kg"/>
    <n v="4"/>
    <n v="1200"/>
    <n v="20"/>
    <n v="3840"/>
    <x v="1"/>
    <s v="Returned"/>
    <n v="5"/>
    <n v="4800"/>
    <n v="960"/>
    <n v="768"/>
    <s v="Jan"/>
    <n v="2024"/>
    <s v="Delayed"/>
    <s v="Normal"/>
    <s v="No"/>
  </r>
  <r>
    <s v="ORD0183"/>
    <d v="2023-10-31T00:00:00"/>
    <s v="CUST092"/>
    <s v="Sridhar Narayanan"/>
    <x v="11"/>
    <s v="Tamil Nadu"/>
    <x v="2"/>
    <s v="Barbie Doll"/>
    <n v="1"/>
    <n v="950"/>
    <n v="15"/>
    <n v="807.5"/>
    <x v="2"/>
    <s v="Pending"/>
    <n v="1"/>
    <n v="950"/>
    <n v="142.5"/>
    <n v="161.5"/>
    <s v="Oct"/>
    <n v="2023"/>
    <s v="Fast"/>
    <s v="Normal"/>
    <s v="No"/>
  </r>
  <r>
    <s v="ORD0184"/>
    <d v="2023-01-07T00:00:00"/>
    <s v="CUST034"/>
    <s v="Aarav Krishnan"/>
    <x v="19"/>
    <s v="Maharashtra"/>
    <x v="4"/>
    <s v="Ethnic Saree"/>
    <n v="4"/>
    <n v="2800"/>
    <n v="5"/>
    <n v="10640"/>
    <x v="1"/>
    <s v="Cancelled"/>
    <n v="0"/>
    <n v="11200"/>
    <n v="560"/>
    <n v="2128"/>
    <s v="Jan"/>
    <n v="2023"/>
    <s v="Fast"/>
    <s v="High Value"/>
    <s v="Yes"/>
  </r>
  <r>
    <s v="ORD0185"/>
    <d v="2024-01-15T00:00:00"/>
    <s v="CUST088"/>
    <s v="Gopal Ramasamy"/>
    <x v="5"/>
    <s v="Tamil Nadu"/>
    <x v="5"/>
    <s v="Wireless Headphones"/>
    <n v="3"/>
    <n v="3500"/>
    <n v="0"/>
    <n v="10500"/>
    <x v="2"/>
    <s v="Delivered"/>
    <n v="10"/>
    <n v="10500"/>
    <n v="0"/>
    <n v="2100"/>
    <s v="Jan"/>
    <n v="2024"/>
    <s v="Delayed"/>
    <s v="High Value"/>
    <s v="No"/>
  </r>
  <r>
    <s v="ORD0186"/>
    <d v="2023-12-10T00:00:00"/>
    <s v="CUST027"/>
    <s v="Harish Ganesan"/>
    <x v="6"/>
    <s v="Delhi"/>
    <x v="3"/>
    <s v="Whole Wheat Atta 10kg"/>
    <n v="3"/>
    <n v="450"/>
    <n v="15"/>
    <n v="1147.5"/>
    <x v="2"/>
    <s v="Delivered"/>
    <n v="8"/>
    <n v="1350"/>
    <n v="202.5"/>
    <n v="229.5"/>
    <s v="Dec"/>
    <n v="2023"/>
    <s v="Delayed"/>
    <s v="Normal"/>
    <s v="Yes"/>
  </r>
  <r>
    <s v="ORD0187"/>
    <d v="2024-03-05T00:00:00"/>
    <s v="CUST095"/>
    <s v="Vanitha Natarajan"/>
    <x v="4"/>
    <s v="Telangana"/>
    <x v="1"/>
    <s v="Face Wash 100ml"/>
    <n v="2"/>
    <n v="180"/>
    <n v="10"/>
    <n v="324"/>
    <x v="2"/>
    <s v="Delivered"/>
    <n v="6"/>
    <n v="360"/>
    <n v="36"/>
    <n v="64.8"/>
    <s v="Mar"/>
    <n v="2024"/>
    <s v="Delayed"/>
    <s v="Normal"/>
    <s v="No"/>
  </r>
  <r>
    <s v="ORD0188"/>
    <d v="2024-04-24T00:00:00"/>
    <s v="CUST063"/>
    <s v="Indira Pandian"/>
    <x v="19"/>
    <s v="Maharashtra"/>
    <x v="7"/>
    <s v="A4 Notebooks Pack5"/>
    <n v="2"/>
    <n v="220"/>
    <n v="15"/>
    <n v="374"/>
    <x v="0"/>
    <s v="Delivered"/>
    <n v="4"/>
    <n v="440"/>
    <n v="66"/>
    <n v="74.8"/>
    <s v="Apr"/>
    <n v="2024"/>
    <s v="Delayed"/>
    <s v="Normal"/>
    <s v="No"/>
  </r>
  <r>
    <s v="ORD0189"/>
    <d v="2024-05-18T00:00:00"/>
    <s v="CUST030"/>
    <s v="Kalpana Velayutham"/>
    <x v="2"/>
    <s v="Tamil Nadu"/>
    <x v="2"/>
    <s v="Jigsaw Puzzle 500pcs"/>
    <n v="3"/>
    <n v="450"/>
    <n v="5"/>
    <n v="1282.5"/>
    <x v="1"/>
    <s v="Delivered"/>
    <n v="8"/>
    <n v="1350"/>
    <n v="67.5"/>
    <n v="256.5"/>
    <s v="May"/>
    <n v="2024"/>
    <s v="Delayed"/>
    <s v="Normal"/>
    <s v="Yes"/>
  </r>
  <r>
    <s v="ORD0190"/>
    <d v="2023-12-30T00:00:00"/>
    <s v="CUST027"/>
    <s v="Harish Ganesan"/>
    <x v="6"/>
    <s v="Delhi"/>
    <x v="3"/>
    <s v="Sunflower Oil 1L"/>
    <n v="4"/>
    <n v="160"/>
    <n v="10"/>
    <n v="576"/>
    <x v="3"/>
    <s v="Delivered"/>
    <n v="8"/>
    <n v="640"/>
    <n v="64"/>
    <n v="115.2"/>
    <s v="Dec"/>
    <n v="2023"/>
    <s v="Delayed"/>
    <s v="Normal"/>
    <s v="Yes"/>
  </r>
  <r>
    <s v="ORD0191"/>
    <d v="2023-06-05T00:00:00"/>
    <s v="CUST057"/>
    <s v="Vimal Sharma"/>
    <x v="16"/>
    <s v="Tamil Nadu"/>
    <x v="1"/>
    <s v="Perfume 100ml"/>
    <n v="1"/>
    <n v="1200"/>
    <n v="10"/>
    <n v="1080"/>
    <x v="1"/>
    <s v="Cancelled"/>
    <n v="0"/>
    <n v="1200"/>
    <n v="120"/>
    <n v="216"/>
    <s v="Jun"/>
    <n v="2023"/>
    <s v="Fast"/>
    <s v="Normal"/>
    <s v="No"/>
  </r>
  <r>
    <s v="ORD0192"/>
    <d v="2024-02-08T00:00:00"/>
    <s v="CUST082"/>
    <s v="Ajay Venkatesh"/>
    <x v="9"/>
    <s v="Tamil Nadu"/>
    <x v="0"/>
    <s v="Yoga Mat 6mm"/>
    <n v="4"/>
    <n v="650"/>
    <n v="10"/>
    <n v="2340"/>
    <x v="5"/>
    <s v="Cancelled"/>
    <n v="0"/>
    <n v="2600"/>
    <n v="260"/>
    <n v="468"/>
    <s v="Feb"/>
    <n v="2024"/>
    <s v="Fast"/>
    <s v="Normal"/>
    <s v="No"/>
  </r>
  <r>
    <s v="ORD0193"/>
    <d v="2024-01-13T00:00:00"/>
    <s v="CUST024"/>
    <s v="Ashwini Venkatesh"/>
    <x v="1"/>
    <s v="Tamil Nadu"/>
    <x v="7"/>
    <s v="Highlighters Set"/>
    <n v="4"/>
    <n v="180"/>
    <n v="20"/>
    <n v="576"/>
    <x v="4"/>
    <s v="Pending"/>
    <n v="2"/>
    <n v="720"/>
    <n v="144"/>
    <n v="115.2"/>
    <s v="Jan"/>
    <n v="2024"/>
    <s v="Fast"/>
    <s v="Normal"/>
    <s v="Yes"/>
  </r>
  <r>
    <s v="ORD0194"/>
    <d v="2023-02-05T00:00:00"/>
    <s v="CUST026"/>
    <s v="Rohini Ganesan"/>
    <x v="11"/>
    <s v="Tamil Nadu"/>
    <x v="3"/>
    <s v="Almonds 250g"/>
    <n v="2"/>
    <n v="280"/>
    <n v="0"/>
    <n v="560"/>
    <x v="2"/>
    <s v="Delivered"/>
    <n v="6"/>
    <n v="560"/>
    <n v="0"/>
    <n v="112"/>
    <s v="Feb"/>
    <n v="2023"/>
    <s v="Delayed"/>
    <s v="Normal"/>
    <s v="Yes"/>
  </r>
  <r>
    <s v="ORD0195"/>
    <d v="2023-09-24T00:00:00"/>
    <s v="CUST066"/>
    <s v="Ranjith Gopal"/>
    <x v="21"/>
    <s v="Karnataka"/>
    <x v="3"/>
    <s v="Sunflower Oil 1L"/>
    <n v="2"/>
    <n v="160"/>
    <n v="10"/>
    <n v="288"/>
    <x v="3"/>
    <s v="Delivered"/>
    <n v="7"/>
    <n v="320"/>
    <n v="32"/>
    <n v="57.6"/>
    <s v="Sep"/>
    <n v="2023"/>
    <s v="Delayed"/>
    <s v="Normal"/>
    <s v="Yes"/>
  </r>
  <r>
    <s v="ORD0196"/>
    <d v="2023-08-13T00:00:00"/>
    <s v="CUST029"/>
    <s v="Prasad Venkatesh"/>
    <x v="12"/>
    <s v="Tamil Nadu"/>
    <x v="7"/>
    <s v="Python Programming"/>
    <n v="4"/>
    <n v="449"/>
    <n v="0"/>
    <n v="1796"/>
    <x v="4"/>
    <s v="Pending"/>
    <n v="2"/>
    <n v="1796"/>
    <n v="0"/>
    <n v="359.20000000000005"/>
    <s v="Aug"/>
    <n v="2023"/>
    <s v="Fast"/>
    <s v="Normal"/>
    <s v="Yes"/>
  </r>
  <r>
    <s v="ORD0197"/>
    <d v="2023-07-04T00:00:00"/>
    <s v="CUST100"/>
    <s v="Tamil Selvam"/>
    <x v="1"/>
    <s v="Tamil Nadu"/>
    <x v="0"/>
    <s v="Badminton Racket"/>
    <n v="2"/>
    <n v="950"/>
    <n v="0"/>
    <n v="1900"/>
    <x v="5"/>
    <s v="Delivered"/>
    <n v="2"/>
    <n v="1900"/>
    <n v="0"/>
    <n v="380"/>
    <s v="Jul"/>
    <n v="2023"/>
    <s v="Fast"/>
    <s v="Normal"/>
    <s v="No"/>
  </r>
  <r>
    <s v="ORD0198"/>
    <d v="2023-04-17T00:00:00"/>
    <s v="CUST035"/>
    <s v="Kalpana Chandran"/>
    <x v="23"/>
    <s v="Tamil Nadu"/>
    <x v="2"/>
    <s v="Barbie Doll"/>
    <n v="2"/>
    <n v="950"/>
    <n v="0"/>
    <n v="1900"/>
    <x v="1"/>
    <s v="Delivered"/>
    <n v="10"/>
    <n v="1900"/>
    <n v="0"/>
    <n v="380"/>
    <s v="Apr"/>
    <n v="2023"/>
    <s v="Delayed"/>
    <s v="Normal"/>
    <s v="No"/>
  </r>
  <r>
    <s v="ORD0199"/>
    <d v="2023-02-18T00:00:00"/>
    <s v="CUST027"/>
    <s v="Harish Ganesan"/>
    <x v="6"/>
    <s v="Delhi"/>
    <x v="5"/>
    <s v="Bluetooth Speaker"/>
    <n v="2"/>
    <n v="2500"/>
    <n v="0"/>
    <n v="5000"/>
    <x v="2"/>
    <s v="Delivered"/>
    <n v="4"/>
    <n v="5000"/>
    <n v="0"/>
    <n v="1000"/>
    <s v="Feb"/>
    <n v="2023"/>
    <s v="Delayed"/>
    <s v="Normal"/>
    <s v="Yes"/>
  </r>
  <r>
    <s v="ORD0200"/>
    <d v="2023-08-31T00:00:00"/>
    <s v="CUST048"/>
    <s v="Elavarasi Karuppasamy"/>
    <x v="21"/>
    <s v="Karnataka"/>
    <x v="1"/>
    <s v="Hair Oil 200ml"/>
    <n v="1"/>
    <n v="140"/>
    <n v="5"/>
    <n v="133"/>
    <x v="4"/>
    <s v="Delivered"/>
    <n v="7"/>
    <n v="140"/>
    <n v="7"/>
    <n v="26.6"/>
    <s v="Aug"/>
    <n v="2023"/>
    <s v="Delayed"/>
    <s v="Normal"/>
    <s v="No"/>
  </r>
  <r>
    <s v="ORD0201"/>
    <d v="2024-03-15T00:00:00"/>
    <s v="CUST041"/>
    <s v="Mohan Annamalai"/>
    <x v="18"/>
    <s v="Tamil Nadu"/>
    <x v="7"/>
    <s v="Gel Pens Pack10"/>
    <n v="4"/>
    <n v="85"/>
    <n v="0"/>
    <n v="340"/>
    <x v="1"/>
    <s v="Pending"/>
    <n v="1"/>
    <n v="340"/>
    <n v="0"/>
    <n v="68"/>
    <s v="Mar"/>
    <n v="2024"/>
    <s v="Fast"/>
    <s v="Normal"/>
    <s v="No"/>
  </r>
  <r>
    <s v="ORD0202"/>
    <d v="2024-06-02T00:00:00"/>
    <s v="CUST048"/>
    <s v="Elavarasi Karuppasamy"/>
    <x v="21"/>
    <s v="Karnataka"/>
    <x v="4"/>
    <s v="Polo T-Shirt"/>
    <n v="4"/>
    <n v="799"/>
    <n v="20"/>
    <n v="2556.8000000000002"/>
    <x v="3"/>
    <s v="Delivered"/>
    <n v="1"/>
    <n v="3196"/>
    <n v="639.20000000000005"/>
    <n v="511.36000000000007"/>
    <s v="Jun"/>
    <n v="2024"/>
    <s v="Fast"/>
    <s v="Normal"/>
    <s v="Yes"/>
  </r>
  <r>
    <s v="ORD0203"/>
    <d v="2023-07-13T00:00:00"/>
    <s v="CUST028"/>
    <s v="Vanitha Krishnan"/>
    <x v="18"/>
    <s v="Tamil Nadu"/>
    <x v="6"/>
    <s v="Mixer Grinder"/>
    <n v="2"/>
    <n v="2800"/>
    <n v="10"/>
    <n v="5040"/>
    <x v="0"/>
    <s v="Returned"/>
    <n v="3"/>
    <n v="5600"/>
    <n v="560"/>
    <n v="1008"/>
    <s v="Jul"/>
    <n v="2023"/>
    <s v="Fast"/>
    <s v="High Value"/>
    <s v="No"/>
  </r>
  <r>
    <s v="ORD0204"/>
    <d v="2024-04-19T00:00:00"/>
    <s v="CUST015"/>
    <s v="Muthukumar Iyer"/>
    <x v="12"/>
    <s v="Tamil Nadu"/>
    <x v="1"/>
    <s v="Hair Oil 200ml"/>
    <n v="2"/>
    <n v="140"/>
    <n v="10"/>
    <n v="252"/>
    <x v="0"/>
    <s v="Returned"/>
    <n v="1"/>
    <n v="280"/>
    <n v="28"/>
    <n v="50.400000000000006"/>
    <s v="Apr"/>
    <n v="2024"/>
    <s v="Fast"/>
    <s v="Normal"/>
    <s v="No"/>
  </r>
  <r>
    <s v="ORD0205"/>
    <d v="2024-01-03T00:00:00"/>
    <s v="CUST023"/>
    <s v="Kalpana Mani"/>
    <x v="16"/>
    <s v="Tamil Nadu"/>
    <x v="5"/>
    <s v="Tablet"/>
    <n v="1"/>
    <n v="22000"/>
    <n v="0"/>
    <n v="22000"/>
    <x v="0"/>
    <s v="Cancelled"/>
    <n v="0"/>
    <n v="22000"/>
    <n v="0"/>
    <n v="4400"/>
    <s v="Jan"/>
    <n v="2024"/>
    <s v="Fast"/>
    <s v="High Value"/>
    <s v="No"/>
  </r>
  <r>
    <s v="ORD0206"/>
    <d v="2023-03-10T00:00:00"/>
    <s v="CUST055"/>
    <s v="Aruna Iyer"/>
    <x v="16"/>
    <s v="Tamil Nadu"/>
    <x v="0"/>
    <s v="Resistance Bands Set"/>
    <n v="2"/>
    <n v="450"/>
    <n v="0"/>
    <n v="900"/>
    <x v="1"/>
    <s v="Returned"/>
    <n v="2"/>
    <n v="900"/>
    <n v="0"/>
    <n v="180"/>
    <s v="Mar"/>
    <n v="2023"/>
    <s v="Fast"/>
    <s v="Normal"/>
    <s v="No"/>
  </r>
  <r>
    <s v="ORD0207"/>
    <d v="2023-04-07T00:00:00"/>
    <s v="CUST092"/>
    <s v="Sridhar Narayanan"/>
    <x v="11"/>
    <s v="Tamil Nadu"/>
    <x v="3"/>
    <s v="Instant Coffee 100g"/>
    <n v="2"/>
    <n v="220"/>
    <n v="20"/>
    <n v="352"/>
    <x v="0"/>
    <s v="Delivered"/>
    <n v="5"/>
    <n v="440"/>
    <n v="88"/>
    <n v="70.400000000000006"/>
    <s v="Apr"/>
    <n v="2023"/>
    <s v="Delayed"/>
    <s v="Normal"/>
    <s v="No"/>
  </r>
  <r>
    <s v="ORD0208"/>
    <d v="2023-05-04T00:00:00"/>
    <s v="CUST013"/>
    <s v="Shalini Ramachandran"/>
    <x v="1"/>
    <s v="Tamil Nadu"/>
    <x v="3"/>
    <s v="Almonds 250g"/>
    <n v="2"/>
    <n v="280"/>
    <n v="5"/>
    <n v="532"/>
    <x v="0"/>
    <s v="Delivered"/>
    <n v="8"/>
    <n v="560"/>
    <n v="28"/>
    <n v="106.4"/>
    <s v="May"/>
    <n v="2023"/>
    <s v="Delayed"/>
    <s v="Normal"/>
    <s v="No"/>
  </r>
  <r>
    <s v="ORD0209"/>
    <d v="2024-04-21T00:00:00"/>
    <s v="CUST070"/>
    <s v="Harish Selvam"/>
    <x v="23"/>
    <s v="Tamil Nadu"/>
    <x v="5"/>
    <s v="Tablet"/>
    <n v="4"/>
    <n v="22000"/>
    <n v="0"/>
    <n v="88000"/>
    <x v="2"/>
    <s v="Cancelled"/>
    <n v="0"/>
    <n v="88000"/>
    <n v="0"/>
    <n v="17600"/>
    <s v="Apr"/>
    <n v="2024"/>
    <s v="Fast"/>
    <s v="High Value"/>
    <s v="Yes"/>
  </r>
  <r>
    <s v="ORD0210"/>
    <d v="2023-02-19T00:00:00"/>
    <s v="CUST079"/>
    <s v="Kumar Murugan"/>
    <x v="22"/>
    <s v="Tamil Nadu"/>
    <x v="0"/>
    <s v="Skipping Rope"/>
    <n v="4"/>
    <n v="250"/>
    <n v="0"/>
    <n v="1000"/>
    <x v="4"/>
    <s v="Returned"/>
    <n v="2"/>
    <n v="1000"/>
    <n v="0"/>
    <n v="200"/>
    <s v="Feb"/>
    <n v="2023"/>
    <s v="Fast"/>
    <s v="Normal"/>
    <s v="Yes"/>
  </r>
  <r>
    <s v="ORD0211"/>
    <d v="2023-02-08T00:00:00"/>
    <s v="CUST084"/>
    <s v="Pooja Velayutham"/>
    <x v="4"/>
    <s v="Telangana"/>
    <x v="3"/>
    <s v="Toor Dal 1kg"/>
    <n v="2"/>
    <n v="130"/>
    <n v="0"/>
    <n v="260"/>
    <x v="2"/>
    <s v="Returned"/>
    <n v="5"/>
    <n v="260"/>
    <n v="0"/>
    <n v="52"/>
    <s v="Feb"/>
    <n v="2023"/>
    <s v="Delayed"/>
    <s v="Normal"/>
    <s v="No"/>
  </r>
  <r>
    <s v="ORD0212"/>
    <d v="2023-09-03T00:00:00"/>
    <s v="CUST054"/>
    <s v="Tamilarasi Murugan"/>
    <x v="2"/>
    <s v="Tamil Nadu"/>
    <x v="1"/>
    <s v="Perfume 100ml"/>
    <n v="1"/>
    <n v="1200"/>
    <n v="5"/>
    <n v="1140"/>
    <x v="1"/>
    <s v="Delivered"/>
    <n v="2"/>
    <n v="1200"/>
    <n v="60"/>
    <n v="228"/>
    <s v="Sep"/>
    <n v="2023"/>
    <s v="Fast"/>
    <s v="Normal"/>
    <s v="Yes"/>
  </r>
  <r>
    <s v="ORD0213"/>
    <d v="2023-11-15T00:00:00"/>
    <s v="CUST072"/>
    <s v="Nisha Kumar"/>
    <x v="22"/>
    <s v="Tamil Nadu"/>
    <x v="2"/>
    <s v="Baby Walker"/>
    <n v="2"/>
    <n v="2200"/>
    <n v="0"/>
    <n v="4400"/>
    <x v="2"/>
    <s v="Delivered"/>
    <n v="4"/>
    <n v="4400"/>
    <n v="0"/>
    <n v="880"/>
    <s v="Nov"/>
    <n v="2023"/>
    <s v="Delayed"/>
    <s v="Normal"/>
    <s v="No"/>
  </r>
  <r>
    <s v="ORD0214"/>
    <d v="2023-04-15T00:00:00"/>
    <s v="CUST010"/>
    <s v="Quamar Velayutham"/>
    <x v="5"/>
    <s v="Tamil Nadu"/>
    <x v="0"/>
    <s v="Cycling Helmet"/>
    <n v="2"/>
    <n v="1100"/>
    <n v="10"/>
    <n v="1980"/>
    <x v="1"/>
    <s v="Delivered"/>
    <n v="6"/>
    <n v="2200"/>
    <n v="220"/>
    <n v="396"/>
    <s v="Apr"/>
    <n v="2023"/>
    <s v="Delayed"/>
    <s v="Normal"/>
    <s v="Yes"/>
  </r>
  <r>
    <s v="ORD0215"/>
    <d v="2023-02-27T00:00:00"/>
    <s v="CUST012"/>
    <s v="Jayashree Mani"/>
    <x v="13"/>
    <s v="Tamil Nadu"/>
    <x v="1"/>
    <s v="Face Wash 100ml"/>
    <n v="1"/>
    <n v="180"/>
    <n v="0"/>
    <n v="180"/>
    <x v="4"/>
    <s v="Delivered"/>
    <n v="9"/>
    <n v="180"/>
    <n v="0"/>
    <n v="36"/>
    <s v="Feb"/>
    <n v="2023"/>
    <s v="Delayed"/>
    <s v="Normal"/>
    <s v="No"/>
  </r>
  <r>
    <s v="ORD0216"/>
    <d v="2023-10-14T00:00:00"/>
    <s v="CUST055"/>
    <s v="Aruna Iyer"/>
    <x v="16"/>
    <s v="Tamil Nadu"/>
    <x v="0"/>
    <s v="Resistance Bands Set"/>
    <n v="1"/>
    <n v="450"/>
    <n v="5"/>
    <n v="427.5"/>
    <x v="2"/>
    <s v="Cancelled"/>
    <n v="0"/>
    <n v="450"/>
    <n v="22.5"/>
    <n v="85.5"/>
    <s v="Oct"/>
    <n v="2023"/>
    <s v="Fast"/>
    <s v="Normal"/>
    <s v="Yes"/>
  </r>
  <r>
    <s v="ORD0217"/>
    <d v="2023-11-15T00:00:00"/>
    <s v="CUST042"/>
    <s v="Deepa Narayanan"/>
    <x v="0"/>
    <s v="Tamil Nadu"/>
    <x v="4"/>
    <s v="Polo T-Shirt"/>
    <n v="2"/>
    <n v="799"/>
    <n v="20"/>
    <n v="1278.4000000000001"/>
    <x v="0"/>
    <s v="Delivered"/>
    <n v="9"/>
    <n v="1598"/>
    <n v="319.60000000000002"/>
    <n v="255.68000000000004"/>
    <s v="Nov"/>
    <n v="2023"/>
    <s v="Delayed"/>
    <s v="Normal"/>
    <s v="No"/>
  </r>
  <r>
    <s v="ORD0218"/>
    <d v="2023-10-29T00:00:00"/>
    <s v="CUST030"/>
    <s v="Kalpana Velayutham"/>
    <x v="2"/>
    <s v="Tamil Nadu"/>
    <x v="0"/>
    <s v="Skipping Rope"/>
    <n v="2"/>
    <n v="250"/>
    <n v="0"/>
    <n v="500"/>
    <x v="2"/>
    <s v="Delivered"/>
    <n v="4"/>
    <n v="500"/>
    <n v="0"/>
    <n v="100"/>
    <s v="Oct"/>
    <n v="2023"/>
    <s v="Delayed"/>
    <s v="Normal"/>
    <s v="Yes"/>
  </r>
  <r>
    <s v="ORD0219"/>
    <d v="2023-05-18T00:00:00"/>
    <s v="CUST006"/>
    <s v="Rajesh Murugesan"/>
    <x v="15"/>
    <s v="Tamil Nadu"/>
    <x v="6"/>
    <s v="Pressure Cooker 5L"/>
    <n v="2"/>
    <n v="1500"/>
    <n v="0"/>
    <n v="3000"/>
    <x v="1"/>
    <s v="Delivered"/>
    <n v="5"/>
    <n v="3000"/>
    <n v="0"/>
    <n v="600"/>
    <s v="May"/>
    <n v="2023"/>
    <s v="Delayed"/>
    <s v="Normal"/>
    <s v="No"/>
  </r>
  <r>
    <s v="ORD0220"/>
    <d v="2024-03-18T00:00:00"/>
    <s v="CUST007"/>
    <s v="Vijay Gopal"/>
    <x v="9"/>
    <s v="Tamil Nadu"/>
    <x v="7"/>
    <s v="Scientific Calculator"/>
    <n v="4"/>
    <n v="750"/>
    <n v="5"/>
    <n v="2850"/>
    <x v="5"/>
    <s v="Returned"/>
    <n v="3"/>
    <n v="3000"/>
    <n v="150"/>
    <n v="570"/>
    <s v="Mar"/>
    <n v="2024"/>
    <s v="Fast"/>
    <s v="Normal"/>
    <s v="No"/>
  </r>
  <r>
    <s v="ORD0221"/>
    <d v="2023-01-24T00:00:00"/>
    <s v="CUST046"/>
    <s v="Shanthi Sundaram"/>
    <x v="12"/>
    <s v="Tamil Nadu"/>
    <x v="7"/>
    <s v="Leadership Mindset"/>
    <n v="2"/>
    <n v="350"/>
    <n v="5"/>
    <n v="665"/>
    <x v="5"/>
    <s v="Delivered"/>
    <n v="9"/>
    <n v="700"/>
    <n v="35"/>
    <n v="133"/>
    <s v="Jan"/>
    <n v="2023"/>
    <s v="Delayed"/>
    <s v="Normal"/>
    <s v="No"/>
  </r>
  <r>
    <s v="ORD0222"/>
    <d v="2023-12-18T00:00:00"/>
    <s v="CUST065"/>
    <s v="Lavanya Velayutham"/>
    <x v="1"/>
    <s v="Tamil Nadu"/>
    <x v="6"/>
    <s v="Mixer Grinder"/>
    <n v="3"/>
    <n v="2800"/>
    <n v="10"/>
    <n v="7560"/>
    <x v="2"/>
    <s v="Returned"/>
    <n v="2"/>
    <n v="8400"/>
    <n v="840"/>
    <n v="1512"/>
    <s v="Dec"/>
    <n v="2023"/>
    <s v="Fast"/>
    <s v="High Value"/>
    <s v="No"/>
  </r>
  <r>
    <s v="ORD0223"/>
    <d v="2024-05-30T00:00:00"/>
    <s v="CUST017"/>
    <s v="Harish Balakrishnan"/>
    <x v="4"/>
    <s v="Telangana"/>
    <x v="2"/>
    <s v="Barbie Doll"/>
    <n v="2"/>
    <n v="950"/>
    <n v="0"/>
    <n v="1900"/>
    <x v="5"/>
    <s v="Delivered"/>
    <n v="5"/>
    <n v="1900"/>
    <n v="0"/>
    <n v="380"/>
    <s v="May"/>
    <n v="2024"/>
    <s v="Delayed"/>
    <s v="Normal"/>
    <s v="No"/>
  </r>
  <r>
    <s v="ORD0224"/>
    <d v="2023-11-15T00:00:00"/>
    <s v="CUST037"/>
    <s v="Manoj Chandran"/>
    <x v="5"/>
    <s v="Tamil Nadu"/>
    <x v="1"/>
    <s v="Face Wash 100ml"/>
    <n v="1"/>
    <n v="180"/>
    <n v="5"/>
    <n v="171"/>
    <x v="0"/>
    <s v="Delivered"/>
    <n v="8"/>
    <n v="180"/>
    <n v="9"/>
    <n v="34.200000000000003"/>
    <s v="Nov"/>
    <n v="2023"/>
    <s v="Delayed"/>
    <s v="Normal"/>
    <s v="No"/>
  </r>
  <r>
    <s v="ORD0225"/>
    <d v="2023-02-16T00:00:00"/>
    <s v="CUST060"/>
    <s v="Balaji Natarajan"/>
    <x v="20"/>
    <s v="Tamil Nadu"/>
    <x v="5"/>
    <s v="Smartphone"/>
    <n v="3"/>
    <n v="18000"/>
    <n v="10"/>
    <n v="48600"/>
    <x v="5"/>
    <s v="Delivered"/>
    <n v="9"/>
    <n v="54000"/>
    <n v="5400"/>
    <n v="9720"/>
    <s v="Feb"/>
    <n v="2023"/>
    <s v="Delayed"/>
    <s v="High Value"/>
    <s v="No"/>
  </r>
  <r>
    <s v="ORD0226"/>
    <d v="2023-06-24T00:00:00"/>
    <s v="CUST029"/>
    <s v="Prasad Venkatesh"/>
    <x v="12"/>
    <s v="Tamil Nadu"/>
    <x v="7"/>
    <s v="Scientific Calculator"/>
    <n v="4"/>
    <n v="750"/>
    <n v="15"/>
    <n v="2550"/>
    <x v="2"/>
    <s v="Delivered"/>
    <n v="4"/>
    <n v="3000"/>
    <n v="450"/>
    <n v="510"/>
    <s v="Jun"/>
    <n v="2023"/>
    <s v="Delayed"/>
    <s v="Normal"/>
    <s v="Yes"/>
  </r>
  <r>
    <s v="ORD0227"/>
    <d v="2024-05-25T00:00:00"/>
    <s v="CUST096"/>
    <s v="Suresh Murugan"/>
    <x v="22"/>
    <s v="Tamil Nadu"/>
    <x v="0"/>
    <s v="Badminton Racket"/>
    <n v="1"/>
    <n v="950"/>
    <n v="0"/>
    <n v="950"/>
    <x v="4"/>
    <s v="Delivered"/>
    <n v="10"/>
    <n v="950"/>
    <n v="0"/>
    <n v="190"/>
    <s v="May"/>
    <n v="2024"/>
    <s v="Delayed"/>
    <s v="Normal"/>
    <s v="Yes"/>
  </r>
  <r>
    <s v="ORD0228"/>
    <d v="2023-08-05T00:00:00"/>
    <s v="CUST090"/>
    <s v="Ramesh Sharma"/>
    <x v="18"/>
    <s v="Tamil Nadu"/>
    <x v="2"/>
    <s v="Barbie Doll"/>
    <n v="2"/>
    <n v="950"/>
    <n v="0"/>
    <n v="1900"/>
    <x v="2"/>
    <s v="Delivered"/>
    <n v="2"/>
    <n v="1900"/>
    <n v="0"/>
    <n v="380"/>
    <s v="Aug"/>
    <n v="2023"/>
    <s v="Fast"/>
    <s v="Normal"/>
    <s v="Yes"/>
  </r>
  <r>
    <s v="ORD0229"/>
    <d v="2023-04-13T00:00:00"/>
    <s v="CUST029"/>
    <s v="Prasad Venkatesh"/>
    <x v="12"/>
    <s v="Tamil Nadu"/>
    <x v="2"/>
    <s v="Baby Walker"/>
    <n v="4"/>
    <n v="2200"/>
    <n v="10"/>
    <n v="7920"/>
    <x v="3"/>
    <s v="Delivered"/>
    <n v="10"/>
    <n v="8800"/>
    <n v="880"/>
    <n v="1584"/>
    <s v="Apr"/>
    <n v="2023"/>
    <s v="Delayed"/>
    <s v="High Value"/>
    <s v="No"/>
  </r>
  <r>
    <s v="ORD0230"/>
    <d v="2023-01-27T00:00:00"/>
    <s v="CUST082"/>
    <s v="Ajay Venkatesh"/>
    <x v="9"/>
    <s v="Tamil Nadu"/>
    <x v="4"/>
    <s v="Ethnic Saree"/>
    <n v="3"/>
    <n v="2800"/>
    <n v="5"/>
    <n v="7980"/>
    <x v="0"/>
    <s v="Delivered"/>
    <n v="10"/>
    <n v="8400"/>
    <n v="420"/>
    <n v="1596"/>
    <s v="Jan"/>
    <n v="2023"/>
    <s v="Delayed"/>
    <s v="High Value"/>
    <s v="No"/>
  </r>
  <r>
    <s v="ORD0231"/>
    <d v="2023-05-03T00:00:00"/>
    <s v="CUST074"/>
    <s v="Bharathi Raj"/>
    <x v="8"/>
    <s v="Tamil Nadu"/>
    <x v="1"/>
    <s v="Perfume 100ml"/>
    <n v="1"/>
    <n v="1200"/>
    <n v="20"/>
    <n v="960"/>
    <x v="2"/>
    <s v="Delivered"/>
    <n v="8"/>
    <n v="1200"/>
    <n v="240"/>
    <n v="192"/>
    <s v="May"/>
    <n v="2023"/>
    <s v="Delayed"/>
    <s v="Normal"/>
    <s v="No"/>
  </r>
  <r>
    <s v="ORD0232"/>
    <d v="2023-07-08T00:00:00"/>
    <s v="CUST061"/>
    <s v="Gopal Devi"/>
    <x v="3"/>
    <s v="Tamil Nadu"/>
    <x v="5"/>
    <s v="USB Hub"/>
    <n v="1"/>
    <n v="900"/>
    <n v="10"/>
    <n v="810"/>
    <x v="0"/>
    <s v="Delivered"/>
    <n v="10"/>
    <n v="900"/>
    <n v="90"/>
    <n v="162"/>
    <s v="Jul"/>
    <n v="2023"/>
    <s v="Delayed"/>
    <s v="Normal"/>
    <s v="Yes"/>
  </r>
  <r>
    <s v="ORD0233"/>
    <d v="2024-02-14T00:00:00"/>
    <s v="CUST060"/>
    <s v="Balaji Natarajan"/>
    <x v="20"/>
    <s v="Tamil Nadu"/>
    <x v="6"/>
    <s v="Knife Set"/>
    <n v="1"/>
    <n v="650"/>
    <n v="20"/>
    <n v="520"/>
    <x v="2"/>
    <s v="Cancelled"/>
    <n v="0"/>
    <n v="650"/>
    <n v="130"/>
    <n v="104"/>
    <s v="Feb"/>
    <n v="2024"/>
    <s v="Fast"/>
    <s v="Normal"/>
    <s v="No"/>
  </r>
  <r>
    <s v="ORD0234"/>
    <d v="2023-12-29T00:00:00"/>
    <s v="CUST004"/>
    <s v="Rubesh Prabhu"/>
    <x v="17"/>
    <s v="Kerala"/>
    <x v="7"/>
    <s v="Gel Pens Pack10"/>
    <n v="2"/>
    <n v="85"/>
    <n v="15"/>
    <n v="144.5"/>
    <x v="2"/>
    <s v="Delivered"/>
    <n v="2"/>
    <n v="170"/>
    <n v="25.5"/>
    <n v="28.900000000000002"/>
    <s v="Dec"/>
    <n v="2023"/>
    <s v="Fast"/>
    <s v="Normal"/>
    <s v="No"/>
  </r>
  <r>
    <s v="ORD0235"/>
    <d v="2023-04-05T00:00:00"/>
    <s v="CUST001"/>
    <s v="Saranya Selvam"/>
    <x v="15"/>
    <s v="Tamil Nadu"/>
    <x v="3"/>
    <s v="Almonds 250g"/>
    <n v="4"/>
    <n v="280"/>
    <n v="0"/>
    <n v="1120"/>
    <x v="2"/>
    <s v="Returned"/>
    <n v="1"/>
    <n v="1120"/>
    <n v="0"/>
    <n v="224"/>
    <s v="Apr"/>
    <n v="2023"/>
    <s v="Fast"/>
    <s v="Normal"/>
    <s v="No"/>
  </r>
  <r>
    <s v="ORD0236"/>
    <d v="2023-04-27T00:00:00"/>
    <s v="CUST047"/>
    <s v="Ponmani Raj"/>
    <x v="7"/>
    <s v="Tamil Nadu"/>
    <x v="1"/>
    <s v="Face Serum"/>
    <n v="2"/>
    <n v="890"/>
    <n v="0"/>
    <n v="1780"/>
    <x v="5"/>
    <s v="Returned"/>
    <n v="2"/>
    <n v="1780"/>
    <n v="0"/>
    <n v="356"/>
    <s v="Apr"/>
    <n v="2023"/>
    <s v="Fast"/>
    <s v="Normal"/>
    <s v="No"/>
  </r>
  <r>
    <s v="ORD0237"/>
    <d v="2023-10-03T00:00:00"/>
    <s v="CUST039"/>
    <s v="Sivakami Perumal"/>
    <x v="0"/>
    <s v="Tamil Nadu"/>
    <x v="6"/>
    <s v="Water Purifier RO"/>
    <n v="2"/>
    <n v="9500"/>
    <n v="5"/>
    <n v="18050"/>
    <x v="0"/>
    <s v="Delivered"/>
    <n v="2"/>
    <n v="19000"/>
    <n v="950"/>
    <n v="3610"/>
    <s v="Oct"/>
    <n v="2023"/>
    <s v="Fast"/>
    <s v="High Value"/>
    <s v="No"/>
  </r>
  <r>
    <s v="ORD0238"/>
    <d v="2023-10-15T00:00:00"/>
    <s v="CUST071"/>
    <s v="Revathi Kumar"/>
    <x v="3"/>
    <s v="Tamil Nadu"/>
    <x v="2"/>
    <s v="Barbie Doll"/>
    <n v="2"/>
    <n v="950"/>
    <n v="15"/>
    <n v="1615"/>
    <x v="2"/>
    <s v="Delivered"/>
    <n v="6"/>
    <n v="1900"/>
    <n v="285"/>
    <n v="323"/>
    <s v="Oct"/>
    <n v="2023"/>
    <s v="Delayed"/>
    <s v="Normal"/>
    <s v="Yes"/>
  </r>
  <r>
    <s v="ORD0239"/>
    <d v="2023-11-20T00:00:00"/>
    <s v="CUST084"/>
    <s v="Pooja Velayutham"/>
    <x v="4"/>
    <s v="Telangana"/>
    <x v="7"/>
    <s v="Data Science Handbook"/>
    <n v="3"/>
    <n v="599"/>
    <n v="0"/>
    <n v="1797"/>
    <x v="4"/>
    <s v="Delivered"/>
    <n v="9"/>
    <n v="1797"/>
    <n v="0"/>
    <n v="359.40000000000003"/>
    <s v="Nov"/>
    <n v="2023"/>
    <s v="Delayed"/>
    <s v="Normal"/>
    <s v="No"/>
  </r>
  <r>
    <s v="ORD0240"/>
    <d v="2023-01-02T00:00:00"/>
    <s v="CUST061"/>
    <s v="Gopal Devi"/>
    <x v="3"/>
    <s v="Tamil Nadu"/>
    <x v="6"/>
    <s v="Chopping Board"/>
    <n v="4"/>
    <n v="280"/>
    <n v="0"/>
    <n v="1120"/>
    <x v="3"/>
    <s v="Delivered"/>
    <n v="2"/>
    <n v="1120"/>
    <n v="0"/>
    <n v="224"/>
    <s v="Jan"/>
    <n v="2023"/>
    <s v="Fast"/>
    <s v="Normal"/>
    <s v="No"/>
  </r>
  <r>
    <s v="ORD0241"/>
    <d v="2023-02-24T00:00:00"/>
    <s v="CUST063"/>
    <s v="Indira Pandian"/>
    <x v="19"/>
    <s v="Maharashtra"/>
    <x v="0"/>
    <s v="Yoga Mat 6mm"/>
    <n v="4"/>
    <n v="650"/>
    <n v="0"/>
    <n v="2600"/>
    <x v="2"/>
    <s v="Returned"/>
    <n v="3"/>
    <n v="2600"/>
    <n v="0"/>
    <n v="520"/>
    <s v="Feb"/>
    <n v="2023"/>
    <s v="Fast"/>
    <s v="Normal"/>
    <s v="No"/>
  </r>
  <r>
    <s v="ORD0242"/>
    <d v="2024-06-17T00:00:00"/>
    <s v="CUST014"/>
    <s v="Rajesh Velayutham"/>
    <x v="3"/>
    <s v="Tamil Nadu"/>
    <x v="7"/>
    <s v="Data Science Handbook"/>
    <n v="2"/>
    <n v="599"/>
    <n v="10"/>
    <n v="1078.2"/>
    <x v="1"/>
    <s v="Returned"/>
    <n v="5"/>
    <n v="1198"/>
    <n v="119.80000000000001"/>
    <n v="215.64000000000001"/>
    <s v="Jun"/>
    <n v="2024"/>
    <s v="Delayed"/>
    <s v="Normal"/>
    <s v="No"/>
  </r>
  <r>
    <s v="ORD0243"/>
    <d v="2023-02-28T00:00:00"/>
    <s v="CUST082"/>
    <s v="Ajay Venkatesh"/>
    <x v="9"/>
    <s v="Tamil Nadu"/>
    <x v="3"/>
    <s v="Sunflower Oil 1L"/>
    <n v="1"/>
    <n v="160"/>
    <n v="0"/>
    <n v="160"/>
    <x v="3"/>
    <s v="Delivered"/>
    <n v="4"/>
    <n v="160"/>
    <n v="0"/>
    <n v="32"/>
    <s v="Feb"/>
    <n v="2023"/>
    <s v="Delayed"/>
    <s v="Normal"/>
    <s v="No"/>
  </r>
  <r>
    <s v="ORD0244"/>
    <d v="2023-08-10T00:00:00"/>
    <s v="CUST004"/>
    <s v="Rubesh Prabhu"/>
    <x v="17"/>
    <s v="Kerala"/>
    <x v="1"/>
    <s v="Sunscreen SPF50"/>
    <n v="2"/>
    <n v="320"/>
    <n v="10"/>
    <n v="576"/>
    <x v="1"/>
    <s v="Delivered"/>
    <n v="7"/>
    <n v="640"/>
    <n v="64"/>
    <n v="115.2"/>
    <s v="Aug"/>
    <n v="2023"/>
    <s v="Delayed"/>
    <s v="Normal"/>
    <s v="No"/>
  </r>
  <r>
    <s v="ORD0245"/>
    <d v="2023-06-10T00:00:00"/>
    <s v="CUST034"/>
    <s v="Aarav Krishnan"/>
    <x v="19"/>
    <s v="Maharashtra"/>
    <x v="7"/>
    <s v="Gel Pens Pack10"/>
    <n v="3"/>
    <n v="85"/>
    <n v="20"/>
    <n v="204"/>
    <x v="1"/>
    <s v="Delivered"/>
    <n v="3"/>
    <n v="255"/>
    <n v="51"/>
    <n v="40.800000000000004"/>
    <s v="Jun"/>
    <n v="2023"/>
    <s v="Fast"/>
    <s v="Normal"/>
    <s v="Yes"/>
  </r>
  <r>
    <s v="ORD0246"/>
    <d v="2024-04-06T00:00:00"/>
    <s v="CUST022"/>
    <s v="Senthil Balakrishnan"/>
    <x v="7"/>
    <s v="Tamil Nadu"/>
    <x v="0"/>
    <s v="Yoga Mat 6mm"/>
    <n v="1"/>
    <n v="650"/>
    <n v="10"/>
    <n v="585"/>
    <x v="2"/>
    <s v="Delivered"/>
    <n v="3"/>
    <n v="650"/>
    <n v="65"/>
    <n v="117"/>
    <s v="Apr"/>
    <n v="2024"/>
    <s v="Fast"/>
    <s v="Normal"/>
    <s v="Yes"/>
  </r>
  <r>
    <s v="ORD0247"/>
    <d v="2024-06-21T00:00:00"/>
    <s v="CUST044"/>
    <s v="Arjun Duraisamy"/>
    <x v="8"/>
    <s v="Tamil Nadu"/>
    <x v="6"/>
    <s v="Induction Cooktop"/>
    <n v="1"/>
    <n v="2200"/>
    <n v="0"/>
    <n v="2200"/>
    <x v="0"/>
    <s v="Cancelled"/>
    <n v="0"/>
    <n v="2200"/>
    <n v="0"/>
    <n v="440"/>
    <s v="Jun"/>
    <n v="2024"/>
    <s v="Fast"/>
    <s v="Normal"/>
    <s v="No"/>
  </r>
  <r>
    <s v="ORD0248"/>
    <d v="2024-04-27T00:00:00"/>
    <s v="CUST077"/>
    <s v="Ramesh Venkatesh"/>
    <x v="20"/>
    <s v="Tamil Nadu"/>
    <x v="1"/>
    <s v="Lipstick"/>
    <n v="3"/>
    <n v="280"/>
    <n v="15"/>
    <n v="714"/>
    <x v="1"/>
    <s v="Delivered"/>
    <n v="8"/>
    <n v="840"/>
    <n v="126"/>
    <n v="142.80000000000001"/>
    <s v="Apr"/>
    <n v="2024"/>
    <s v="Delayed"/>
    <s v="Normal"/>
    <s v="Yes"/>
  </r>
  <r>
    <s v="ORD0249"/>
    <d v="2023-09-19T00:00:00"/>
    <s v="CUST053"/>
    <s v="Gayatri Chandran"/>
    <x v="6"/>
    <s v="Delhi"/>
    <x v="5"/>
    <s v="Smartphone"/>
    <n v="1"/>
    <n v="18000"/>
    <n v="20"/>
    <n v="14400"/>
    <x v="5"/>
    <s v="Delivered"/>
    <n v="9"/>
    <n v="18000"/>
    <n v="3600"/>
    <n v="2880"/>
    <s v="Sep"/>
    <n v="2023"/>
    <s v="Delayed"/>
    <s v="High Value"/>
    <s v="No"/>
  </r>
  <r>
    <s v="ORD0250"/>
    <d v="2024-01-28T00:00:00"/>
    <s v="CUST041"/>
    <s v="Mohan Annamalai"/>
    <x v="18"/>
    <s v="Tamil Nadu"/>
    <x v="2"/>
    <s v="Baby Walker"/>
    <n v="2"/>
    <n v="2200"/>
    <n v="5"/>
    <n v="4180"/>
    <x v="0"/>
    <s v="Delivered"/>
    <n v="3"/>
    <n v="4400"/>
    <n v="220"/>
    <n v="836"/>
    <s v="Jan"/>
    <n v="2024"/>
    <s v="Fast"/>
    <s v="Normal"/>
    <s v="Yes"/>
  </r>
  <r>
    <s v="ORD0251"/>
    <d v="2024-02-15T00:00:00"/>
    <s v="CUST093"/>
    <s v="Jayashree Narayanan"/>
    <x v="7"/>
    <s v="Tamil Nadu"/>
    <x v="7"/>
    <s v="Sticky Notes 400pcs"/>
    <n v="2"/>
    <n v="120"/>
    <n v="5"/>
    <n v="228"/>
    <x v="1"/>
    <s v="Delivered"/>
    <n v="1"/>
    <n v="240"/>
    <n v="12"/>
    <n v="45.6"/>
    <s v="Feb"/>
    <n v="2024"/>
    <s v="Fast"/>
    <s v="Normal"/>
    <s v="No"/>
  </r>
  <r>
    <s v="ORD0252"/>
    <d v="2024-02-03T00:00:00"/>
    <s v="CUST004"/>
    <s v="Rubesh Prabhu"/>
    <x v="17"/>
    <s v="Kerala"/>
    <x v="1"/>
    <s v="Sunscreen SPF50"/>
    <n v="1"/>
    <n v="320"/>
    <n v="20"/>
    <n v="256"/>
    <x v="4"/>
    <s v="Delivered"/>
    <n v="5"/>
    <n v="320"/>
    <n v="64"/>
    <n v="51.2"/>
    <s v="Feb"/>
    <n v="2024"/>
    <s v="Delayed"/>
    <s v="Normal"/>
    <s v="Yes"/>
  </r>
  <r>
    <s v="ORD0253"/>
    <d v="2023-06-02T00:00:00"/>
    <s v="CUST062"/>
    <s v="Vinoth Gopal"/>
    <x v="7"/>
    <s v="Tamil Nadu"/>
    <x v="1"/>
    <s v="Moisturizer 50g"/>
    <n v="4"/>
    <n v="380"/>
    <n v="10"/>
    <n v="1368"/>
    <x v="5"/>
    <s v="Delivered"/>
    <n v="1"/>
    <n v="1520"/>
    <n v="152"/>
    <n v="273.60000000000002"/>
    <s v="Jun"/>
    <n v="2023"/>
    <s v="Fast"/>
    <s v="Normal"/>
    <s v="No"/>
  </r>
  <r>
    <s v="ORD0254"/>
    <d v="2024-05-12T00:00:00"/>
    <s v="CUST028"/>
    <s v="Vanitha Krishnan"/>
    <x v="18"/>
    <s v="Tamil Nadu"/>
    <x v="6"/>
    <s v="Dinner Set 24pcs"/>
    <n v="2"/>
    <n v="1800"/>
    <n v="5"/>
    <n v="3420"/>
    <x v="2"/>
    <s v="Cancelled"/>
    <n v="0"/>
    <n v="3600"/>
    <n v="180"/>
    <n v="684"/>
    <s v="May"/>
    <n v="2024"/>
    <s v="Fast"/>
    <s v="Normal"/>
    <s v="Yes"/>
  </r>
  <r>
    <s v="ORD0255"/>
    <d v="2023-11-22T00:00:00"/>
    <s v="CUST036"/>
    <s v="Kavitha Nair"/>
    <x v="8"/>
    <s v="Tamil Nadu"/>
    <x v="1"/>
    <s v="Lipstick"/>
    <n v="4"/>
    <n v="280"/>
    <n v="0"/>
    <n v="1120"/>
    <x v="1"/>
    <s v="Delivered"/>
    <n v="6"/>
    <n v="1120"/>
    <n v="0"/>
    <n v="224"/>
    <s v="Nov"/>
    <n v="2023"/>
    <s v="Delayed"/>
    <s v="Normal"/>
    <s v="No"/>
  </r>
  <r>
    <s v="ORD0256"/>
    <d v="2023-12-11T00:00:00"/>
    <s v="CUST063"/>
    <s v="Indira Pandian"/>
    <x v="19"/>
    <s v="Maharashtra"/>
    <x v="0"/>
    <s v="Skipping Rope"/>
    <n v="1"/>
    <n v="250"/>
    <n v="5"/>
    <n v="237.5"/>
    <x v="5"/>
    <s v="Delivered"/>
    <n v="10"/>
    <n v="250"/>
    <n v="12.5"/>
    <n v="47.5"/>
    <s v="Dec"/>
    <n v="2023"/>
    <s v="Delayed"/>
    <s v="Normal"/>
    <s v="No"/>
  </r>
  <r>
    <s v="ORD0257"/>
    <d v="2023-03-23T00:00:00"/>
    <s v="CUST031"/>
    <s v="Girija Iyer"/>
    <x v="12"/>
    <s v="Tamil Nadu"/>
    <x v="4"/>
    <s v="Winter Jacket"/>
    <n v="4"/>
    <n v="3500"/>
    <n v="0"/>
    <n v="14000"/>
    <x v="2"/>
    <s v="Delivered"/>
    <n v="5"/>
    <n v="14000"/>
    <n v="0"/>
    <n v="2800"/>
    <s v="Mar"/>
    <n v="2023"/>
    <s v="Delayed"/>
    <s v="High Value"/>
    <s v="No"/>
  </r>
  <r>
    <s v="ORD0258"/>
    <d v="2024-03-25T00:00:00"/>
    <s v="CUST086"/>
    <s v="Akash Rajan"/>
    <x v="3"/>
    <s v="Tamil Nadu"/>
    <x v="7"/>
    <s v="Highlighters Set"/>
    <n v="1"/>
    <n v="180"/>
    <n v="10"/>
    <n v="162"/>
    <x v="5"/>
    <s v="Cancelled"/>
    <n v="0"/>
    <n v="180"/>
    <n v="18"/>
    <n v="32.4"/>
    <s v="Mar"/>
    <n v="2024"/>
    <s v="Fast"/>
    <s v="Normal"/>
    <s v="No"/>
  </r>
  <r>
    <s v="ORD0259"/>
    <d v="2024-06-27T00:00:00"/>
    <s v="CUST083"/>
    <s v="Kumar Duraisamy"/>
    <x v="2"/>
    <s v="Tamil Nadu"/>
    <x v="3"/>
    <s v="Green Tea 25bags"/>
    <n v="2"/>
    <n v="180"/>
    <n v="15"/>
    <n v="306"/>
    <x v="1"/>
    <s v="Cancelled"/>
    <n v="0"/>
    <n v="360"/>
    <n v="54"/>
    <n v="61.2"/>
    <s v="Jun"/>
    <n v="2024"/>
    <s v="Fast"/>
    <s v="Normal"/>
    <s v="No"/>
  </r>
  <r>
    <s v="ORD0260"/>
    <d v="2024-03-28T00:00:00"/>
    <s v="CUST089"/>
    <s v="Arjun Devi"/>
    <x v="0"/>
    <s v="Tamil Nadu"/>
    <x v="4"/>
    <s v="Women's Kurti"/>
    <n v="2"/>
    <n v="850"/>
    <n v="15"/>
    <n v="1445"/>
    <x v="4"/>
    <s v="Cancelled"/>
    <n v="0"/>
    <n v="1700"/>
    <n v="255"/>
    <n v="289"/>
    <s v="Mar"/>
    <n v="2024"/>
    <s v="Fast"/>
    <s v="Normal"/>
    <s v="No"/>
  </r>
  <r>
    <s v="ORD0261"/>
    <d v="2023-03-18T00:00:00"/>
    <s v="CUST025"/>
    <s v="Vasanth Sundaram"/>
    <x v="22"/>
    <s v="Tamil Nadu"/>
    <x v="7"/>
    <s v="Scientific Calculator"/>
    <n v="3"/>
    <n v="750"/>
    <n v="10"/>
    <n v="2025"/>
    <x v="2"/>
    <s v="Delivered"/>
    <n v="5"/>
    <n v="2250"/>
    <n v="225"/>
    <n v="405"/>
    <s v="Mar"/>
    <n v="2023"/>
    <s v="Delayed"/>
    <s v="Normal"/>
    <s v="Yes"/>
  </r>
  <r>
    <s v="ORD0262"/>
    <d v="2023-10-04T00:00:00"/>
    <s v="CUST002"/>
    <s v="Tamilarasi Annamalai"/>
    <x v="8"/>
    <s v="Tamil Nadu"/>
    <x v="7"/>
    <s v="Scientific Calculator"/>
    <n v="3"/>
    <n v="750"/>
    <n v="0"/>
    <n v="2250"/>
    <x v="5"/>
    <s v="Pending"/>
    <n v="1"/>
    <n v="2250"/>
    <n v="0"/>
    <n v="450"/>
    <s v="Oct"/>
    <n v="2023"/>
    <s v="Fast"/>
    <s v="Normal"/>
    <s v="No"/>
  </r>
  <r>
    <s v="ORD0263"/>
    <d v="2023-06-11T00:00:00"/>
    <s v="CUST026"/>
    <s v="Rohini Ganesan"/>
    <x v="11"/>
    <s v="Tamil Nadu"/>
    <x v="2"/>
    <s v="Remote Control Car"/>
    <n v="2"/>
    <n v="1200"/>
    <n v="10"/>
    <n v="2160"/>
    <x v="4"/>
    <s v="Cancelled"/>
    <n v="0"/>
    <n v="2400"/>
    <n v="240"/>
    <n v="432"/>
    <s v="Jun"/>
    <n v="2023"/>
    <s v="Fast"/>
    <s v="Normal"/>
    <s v="Yes"/>
  </r>
  <r>
    <s v="ORD0264"/>
    <d v="2023-01-15T00:00:00"/>
    <s v="CUST063"/>
    <s v="Indira Pandian"/>
    <x v="19"/>
    <s v="Maharashtra"/>
    <x v="2"/>
    <s v="Baby Walker"/>
    <n v="2"/>
    <n v="2200"/>
    <n v="15"/>
    <n v="3740"/>
    <x v="2"/>
    <s v="Cancelled"/>
    <n v="0"/>
    <n v="4400"/>
    <n v="660"/>
    <n v="748"/>
    <s v="Jan"/>
    <n v="2023"/>
    <s v="Fast"/>
    <s v="Normal"/>
    <s v="Yes"/>
  </r>
  <r>
    <s v="ORD0265"/>
    <d v="2023-06-26T00:00:00"/>
    <s v="CUST004"/>
    <s v="Rubesh Prabhu"/>
    <x v="17"/>
    <s v="Kerala"/>
    <x v="6"/>
    <s v="Water Purifier RO"/>
    <n v="3"/>
    <n v="9500"/>
    <n v="20"/>
    <n v="22800"/>
    <x v="0"/>
    <s v="Delivered"/>
    <n v="4"/>
    <n v="28500"/>
    <n v="5700"/>
    <n v="4560"/>
    <s v="Jun"/>
    <n v="2023"/>
    <s v="Delayed"/>
    <s v="High Value"/>
    <s v="No"/>
  </r>
  <r>
    <s v="ORD0266"/>
    <d v="2023-01-20T00:00:00"/>
    <s v="CUST081"/>
    <s v="Anita Iyer"/>
    <x v="2"/>
    <s v="Tamil Nadu"/>
    <x v="6"/>
    <s v="Mixer Grinder"/>
    <n v="3"/>
    <n v="2800"/>
    <n v="10"/>
    <n v="7560"/>
    <x v="3"/>
    <s v="Cancelled"/>
    <n v="0"/>
    <n v="8400"/>
    <n v="840"/>
    <n v="1512"/>
    <s v="Jan"/>
    <n v="2023"/>
    <s v="Fast"/>
    <s v="High Value"/>
    <s v="No"/>
  </r>
  <r>
    <s v="ORD0267"/>
    <d v="2023-02-19T00:00:00"/>
    <s v="CUST023"/>
    <s v="Kalpana Mani"/>
    <x v="16"/>
    <s v="Tamil Nadu"/>
    <x v="2"/>
    <s v="Board Game Monopoly"/>
    <n v="2"/>
    <n v="800"/>
    <n v="0"/>
    <n v="1600"/>
    <x v="0"/>
    <s v="Pending"/>
    <n v="5"/>
    <n v="1600"/>
    <n v="0"/>
    <n v="320"/>
    <s v="Feb"/>
    <n v="2023"/>
    <s v="Delayed"/>
    <s v="Normal"/>
    <s v="Yes"/>
  </r>
  <r>
    <s v="ORD0268"/>
    <d v="2023-11-21T00:00:00"/>
    <s v="CUST024"/>
    <s v="Ashwini Venkatesh"/>
    <x v="1"/>
    <s v="Tamil Nadu"/>
    <x v="6"/>
    <s v="Air Fryer"/>
    <n v="1"/>
    <n v="4500"/>
    <n v="0"/>
    <n v="4500"/>
    <x v="1"/>
    <s v="Delivered"/>
    <n v="2"/>
    <n v="4500"/>
    <n v="0"/>
    <n v="900"/>
    <s v="Nov"/>
    <n v="2023"/>
    <s v="Fast"/>
    <s v="Normal"/>
    <s v="No"/>
  </r>
  <r>
    <s v="ORD0269"/>
    <d v="2023-08-20T00:00:00"/>
    <s v="CUST020"/>
    <s v="Indira Raj"/>
    <x v="15"/>
    <s v="Tamil Nadu"/>
    <x v="3"/>
    <s v="Instant Coffee 100g"/>
    <n v="1"/>
    <n v="220"/>
    <n v="0"/>
    <n v="220"/>
    <x v="0"/>
    <s v="Delivered"/>
    <n v="7"/>
    <n v="220"/>
    <n v="0"/>
    <n v="44"/>
    <s v="Aug"/>
    <n v="2023"/>
    <s v="Delayed"/>
    <s v="Normal"/>
    <s v="Yes"/>
  </r>
  <r>
    <s v="ORD0270"/>
    <d v="2023-11-23T00:00:00"/>
    <s v="CUST013"/>
    <s v="Shalini Ramachandran"/>
    <x v="1"/>
    <s v="Tamil Nadu"/>
    <x v="0"/>
    <s v="Badminton Racket"/>
    <n v="4"/>
    <n v="950"/>
    <n v="5"/>
    <n v="3610"/>
    <x v="4"/>
    <s v="Delivered"/>
    <n v="8"/>
    <n v="3800"/>
    <n v="190"/>
    <n v="722"/>
    <s v="Nov"/>
    <n v="2023"/>
    <s v="Delayed"/>
    <s v="Normal"/>
    <s v="No"/>
  </r>
  <r>
    <s v="ORD0271"/>
    <d v="2023-03-06T00:00:00"/>
    <s v="CUST014"/>
    <s v="Rajesh Velayutham"/>
    <x v="3"/>
    <s v="Tamil Nadu"/>
    <x v="7"/>
    <s v="Scientific Calculator"/>
    <n v="4"/>
    <n v="750"/>
    <n v="0"/>
    <n v="3000"/>
    <x v="4"/>
    <s v="Pending"/>
    <n v="1"/>
    <n v="3000"/>
    <n v="0"/>
    <n v="600"/>
    <s v="Mar"/>
    <n v="2023"/>
    <s v="Fast"/>
    <s v="Normal"/>
    <s v="No"/>
  </r>
  <r>
    <s v="ORD0272"/>
    <d v="2023-10-20T00:00:00"/>
    <s v="CUST058"/>
    <s v="Ashok Chinnaswamy"/>
    <x v="2"/>
    <s v="Tamil Nadu"/>
    <x v="6"/>
    <s v="Induction Cooktop"/>
    <n v="1"/>
    <n v="2200"/>
    <n v="20"/>
    <n v="1760"/>
    <x v="1"/>
    <s v="Delivered"/>
    <n v="4"/>
    <n v="2200"/>
    <n v="440"/>
    <n v="352"/>
    <s v="Oct"/>
    <n v="2023"/>
    <s v="Delayed"/>
    <s v="Normal"/>
    <s v="No"/>
  </r>
  <r>
    <s v="ORD0273"/>
    <d v="2023-12-10T00:00:00"/>
    <s v="CUST039"/>
    <s v="Sivakami Perumal"/>
    <x v="0"/>
    <s v="Tamil Nadu"/>
    <x v="1"/>
    <s v="Lipstick"/>
    <n v="2"/>
    <n v="280"/>
    <n v="15"/>
    <n v="476"/>
    <x v="2"/>
    <s v="Delivered"/>
    <n v="4"/>
    <n v="560"/>
    <n v="84"/>
    <n v="95.2"/>
    <s v="Dec"/>
    <n v="2023"/>
    <s v="Delayed"/>
    <s v="Normal"/>
    <s v="Yes"/>
  </r>
  <r>
    <s v="ORD0274"/>
    <d v="2024-05-15T00:00:00"/>
    <s v="CUST089"/>
    <s v="Arjun Devi"/>
    <x v="0"/>
    <s v="Tamil Nadu"/>
    <x v="1"/>
    <s v="Moisturizer 50g"/>
    <n v="1"/>
    <n v="380"/>
    <n v="10"/>
    <n v="342"/>
    <x v="2"/>
    <s v="Delivered"/>
    <n v="10"/>
    <n v="380"/>
    <n v="38"/>
    <n v="68.400000000000006"/>
    <s v="May"/>
    <n v="2024"/>
    <s v="Delayed"/>
    <s v="Normal"/>
    <s v="No"/>
  </r>
  <r>
    <s v="ORD0275"/>
    <d v="2023-01-21T00:00:00"/>
    <s v="CUST022"/>
    <s v="Senthil Balakrishnan"/>
    <x v="7"/>
    <s v="Tamil Nadu"/>
    <x v="5"/>
    <s v="Bluetooth Speaker"/>
    <n v="2"/>
    <n v="2500"/>
    <n v="0"/>
    <n v="5000"/>
    <x v="2"/>
    <s v="Delivered"/>
    <n v="7"/>
    <n v="5000"/>
    <n v="0"/>
    <n v="1000"/>
    <s v="Jan"/>
    <n v="2023"/>
    <s v="Delayed"/>
    <s v="Normal"/>
    <s v="Yes"/>
  </r>
  <r>
    <s v="ORD0276"/>
    <d v="2023-03-21T00:00:00"/>
    <s v="CUST100"/>
    <s v="Tamil Selvam"/>
    <x v="1"/>
    <s v="Tamil Nadu"/>
    <x v="3"/>
    <s v="Instant Coffee 100g"/>
    <n v="4"/>
    <n v="220"/>
    <n v="5"/>
    <n v="836"/>
    <x v="1"/>
    <s v="Pending"/>
    <n v="2"/>
    <n v="880"/>
    <n v="44"/>
    <n v="167.20000000000002"/>
    <s v="Mar"/>
    <n v="2023"/>
    <s v="Fast"/>
    <s v="Normal"/>
    <s v="No"/>
  </r>
  <r>
    <s v="ORD0277"/>
    <d v="2023-10-15T00:00:00"/>
    <s v="CUST075"/>
    <s v="Vasanth Velayutham"/>
    <x v="17"/>
    <s v="Kerala"/>
    <x v="5"/>
    <s v="Laptop"/>
    <n v="2"/>
    <n v="45000"/>
    <n v="15"/>
    <n v="76500"/>
    <x v="1"/>
    <s v="Delivered"/>
    <n v="7"/>
    <n v="90000"/>
    <n v="13500"/>
    <n v="15300"/>
    <s v="Oct"/>
    <n v="2023"/>
    <s v="Delayed"/>
    <s v="High Value"/>
    <s v="Yes"/>
  </r>
  <r>
    <s v="ORD0278"/>
    <d v="2023-04-05T00:00:00"/>
    <s v="CUST005"/>
    <s v="Krishnan Duraisamy"/>
    <x v="23"/>
    <s v="Tamil Nadu"/>
    <x v="1"/>
    <s v="Foundation"/>
    <n v="3"/>
    <n v="650"/>
    <n v="0"/>
    <n v="1950"/>
    <x v="4"/>
    <s v="Cancelled"/>
    <n v="0"/>
    <n v="1950"/>
    <n v="0"/>
    <n v="390"/>
    <s v="Apr"/>
    <n v="2023"/>
    <s v="Fast"/>
    <s v="Normal"/>
    <s v="No"/>
  </r>
  <r>
    <s v="ORD0279"/>
    <d v="2023-07-17T00:00:00"/>
    <s v="CUST049"/>
    <s v="Oviya Babu"/>
    <x v="3"/>
    <s v="Tamil Nadu"/>
    <x v="0"/>
    <s v="Yoga Mat 6mm"/>
    <n v="4"/>
    <n v="650"/>
    <n v="5"/>
    <n v="2470"/>
    <x v="0"/>
    <s v="Returned"/>
    <n v="2"/>
    <n v="2600"/>
    <n v="130"/>
    <n v="494"/>
    <s v="Jul"/>
    <n v="2023"/>
    <s v="Fast"/>
    <s v="Normal"/>
    <s v="No"/>
  </r>
  <r>
    <s v="ORD0280"/>
    <d v="2024-06-09T00:00:00"/>
    <s v="CUST071"/>
    <s v="Revathi Kumar"/>
    <x v="3"/>
    <s v="Tamil Nadu"/>
    <x v="2"/>
    <s v="Play-Doh Set"/>
    <n v="3"/>
    <n v="280"/>
    <n v="20"/>
    <n v="672"/>
    <x v="5"/>
    <s v="Delivered"/>
    <n v="2"/>
    <n v="840"/>
    <n v="168"/>
    <n v="134.4"/>
    <s v="Jun"/>
    <n v="2024"/>
    <s v="Fast"/>
    <s v="Normal"/>
    <s v="Yes"/>
  </r>
  <r>
    <s v="ORD0281"/>
    <d v="2023-07-19T00:00:00"/>
    <s v="CUST034"/>
    <s v="Aarav Krishnan"/>
    <x v="19"/>
    <s v="Maharashtra"/>
    <x v="6"/>
    <s v="Non-Stick Pan"/>
    <n v="2"/>
    <n v="850"/>
    <n v="15"/>
    <n v="1445"/>
    <x v="0"/>
    <s v="Delivered"/>
    <n v="6"/>
    <n v="1700"/>
    <n v="255"/>
    <n v="289"/>
    <s v="Jul"/>
    <n v="2023"/>
    <s v="Delayed"/>
    <s v="Normal"/>
    <s v="No"/>
  </r>
  <r>
    <s v="ORD0282"/>
    <d v="2023-04-08T00:00:00"/>
    <s v="CUST005"/>
    <s v="Krishnan Duraisamy"/>
    <x v="23"/>
    <s v="Tamil Nadu"/>
    <x v="2"/>
    <s v="Soft Toy Bear"/>
    <n v="1"/>
    <n v="350"/>
    <n v="5"/>
    <n v="332.5"/>
    <x v="0"/>
    <s v="Delivered"/>
    <n v="7"/>
    <n v="350"/>
    <n v="17.5"/>
    <n v="66.5"/>
    <s v="Apr"/>
    <n v="2023"/>
    <s v="Delayed"/>
    <s v="Normal"/>
    <s v="Yes"/>
  </r>
  <r>
    <s v="ORD0283"/>
    <d v="2024-05-15T00:00:00"/>
    <s v="CUST089"/>
    <s v="Arjun Devi"/>
    <x v="0"/>
    <s v="Tamil Nadu"/>
    <x v="0"/>
    <s v="Football Size5"/>
    <n v="3"/>
    <n v="800"/>
    <n v="5"/>
    <n v="2280"/>
    <x v="4"/>
    <s v="Delivered"/>
    <n v="4"/>
    <n v="2400"/>
    <n v="120"/>
    <n v="456"/>
    <s v="May"/>
    <n v="2024"/>
    <s v="Delayed"/>
    <s v="Normal"/>
    <s v="No"/>
  </r>
  <r>
    <s v="ORD0284"/>
    <d v="2024-01-09T00:00:00"/>
    <s v="CUST015"/>
    <s v="Muthukumar Iyer"/>
    <x v="12"/>
    <s v="Tamil Nadu"/>
    <x v="4"/>
    <s v="Winter Jacket"/>
    <n v="4"/>
    <n v="3500"/>
    <n v="20"/>
    <n v="11200"/>
    <x v="5"/>
    <s v="Delivered"/>
    <n v="2"/>
    <n v="14000"/>
    <n v="2800"/>
    <n v="2240"/>
    <s v="Jan"/>
    <n v="2024"/>
    <s v="Fast"/>
    <s v="High Value"/>
    <s v="No"/>
  </r>
  <r>
    <s v="ORD0285"/>
    <d v="2023-01-05T00:00:00"/>
    <s v="CUST037"/>
    <s v="Manoj Chandran"/>
    <x v="5"/>
    <s v="Tamil Nadu"/>
    <x v="2"/>
    <s v="Remote Control Car"/>
    <n v="2"/>
    <n v="1200"/>
    <n v="15"/>
    <n v="2040"/>
    <x v="0"/>
    <s v="Delivered"/>
    <n v="7"/>
    <n v="2400"/>
    <n v="360"/>
    <n v="408"/>
    <s v="Jan"/>
    <n v="2023"/>
    <s v="Delayed"/>
    <s v="Normal"/>
    <s v="No"/>
  </r>
  <r>
    <s v="ORD0286"/>
    <d v="2023-07-13T00:00:00"/>
    <s v="CUST002"/>
    <s v="Tamilarasi Annamalai"/>
    <x v="8"/>
    <s v="Tamil Nadu"/>
    <x v="1"/>
    <s v="Body Lotion 400ml"/>
    <n v="3"/>
    <n v="260"/>
    <n v="0"/>
    <n v="780"/>
    <x v="2"/>
    <s v="Delivered"/>
    <n v="6"/>
    <n v="780"/>
    <n v="0"/>
    <n v="156"/>
    <s v="Jul"/>
    <n v="2023"/>
    <s v="Delayed"/>
    <s v="Normal"/>
    <s v="No"/>
  </r>
  <r>
    <s v="ORD0287"/>
    <d v="2023-12-04T00:00:00"/>
    <s v="CUST023"/>
    <s v="Kalpana Mani"/>
    <x v="16"/>
    <s v="Tamil Nadu"/>
    <x v="2"/>
    <s v="Play-Doh Set"/>
    <n v="1"/>
    <n v="280"/>
    <n v="0"/>
    <n v="280"/>
    <x v="3"/>
    <s v="Cancelled"/>
    <n v="0"/>
    <n v="280"/>
    <n v="0"/>
    <n v="56"/>
    <s v="Dec"/>
    <n v="2023"/>
    <s v="Fast"/>
    <s v="Normal"/>
    <s v="No"/>
  </r>
  <r>
    <s v="ORD0288"/>
    <d v="2024-03-06T00:00:00"/>
    <s v="CUST004"/>
    <s v="Rubesh Prabhu"/>
    <x v="17"/>
    <s v="Kerala"/>
    <x v="7"/>
    <s v="Highlighters Set"/>
    <n v="3"/>
    <n v="180"/>
    <n v="20"/>
    <n v="432"/>
    <x v="0"/>
    <s v="Delivered"/>
    <n v="3"/>
    <n v="540"/>
    <n v="108"/>
    <n v="86.4"/>
    <s v="Mar"/>
    <n v="2024"/>
    <s v="Fast"/>
    <s v="Normal"/>
    <s v="No"/>
  </r>
  <r>
    <s v="ORD0289"/>
    <d v="2023-06-22T00:00:00"/>
    <s v="CUST050"/>
    <s v="Kavitha Devi"/>
    <x v="14"/>
    <s v="Maharashtra"/>
    <x v="6"/>
    <s v="Knife Set"/>
    <n v="4"/>
    <n v="650"/>
    <n v="15"/>
    <n v="2210"/>
    <x v="2"/>
    <s v="Delivered"/>
    <n v="9"/>
    <n v="2600"/>
    <n v="390"/>
    <n v="442"/>
    <s v="Jun"/>
    <n v="2023"/>
    <s v="Delayed"/>
    <s v="Normal"/>
    <s v="No"/>
  </r>
  <r>
    <s v="ORD0290"/>
    <d v="2023-09-28T00:00:00"/>
    <s v="CUST038"/>
    <s v="Rohini Prabhu"/>
    <x v="6"/>
    <s v="Delhi"/>
    <x v="3"/>
    <s v="Whole Wheat Atta 10kg"/>
    <n v="3"/>
    <n v="450"/>
    <n v="0"/>
    <n v="1350"/>
    <x v="5"/>
    <s v="Delivered"/>
    <n v="4"/>
    <n v="1350"/>
    <n v="0"/>
    <n v="270"/>
    <s v="Sep"/>
    <n v="2023"/>
    <s v="Delayed"/>
    <s v="Normal"/>
    <s v="No"/>
  </r>
  <r>
    <s v="ORD0291"/>
    <d v="2024-04-29T00:00:00"/>
    <s v="CUST086"/>
    <s v="Akash Rajan"/>
    <x v="3"/>
    <s v="Tamil Nadu"/>
    <x v="6"/>
    <s v="Non-Stick Pan"/>
    <n v="3"/>
    <n v="850"/>
    <n v="15"/>
    <n v="2167.5"/>
    <x v="2"/>
    <s v="Pending"/>
    <n v="5"/>
    <n v="2550"/>
    <n v="382.5"/>
    <n v="433.5"/>
    <s v="Apr"/>
    <n v="2024"/>
    <s v="Delayed"/>
    <s v="Normal"/>
    <s v="No"/>
  </r>
  <r>
    <s v="ORD0292"/>
    <d v="2024-01-15T00:00:00"/>
    <s v="CUST021"/>
    <s v="Karthik Sharma"/>
    <x v="18"/>
    <s v="Tamil Nadu"/>
    <x v="6"/>
    <s v="Water Purifier RO"/>
    <n v="3"/>
    <n v="9500"/>
    <n v="20"/>
    <n v="22800"/>
    <x v="2"/>
    <s v="Delivered"/>
    <n v="5"/>
    <n v="28500"/>
    <n v="5700"/>
    <n v="4560"/>
    <s v="Jan"/>
    <n v="2024"/>
    <s v="Delayed"/>
    <s v="High Value"/>
    <s v="No"/>
  </r>
  <r>
    <s v="ORD0293"/>
    <d v="2024-01-20T00:00:00"/>
    <s v="CUST018"/>
    <s v="Rajesh Balakrishnan"/>
    <x v="7"/>
    <s v="Tamil Nadu"/>
    <x v="7"/>
    <s v="SQL Mastery"/>
    <n v="3"/>
    <n v="380"/>
    <n v="10"/>
    <n v="1026"/>
    <x v="3"/>
    <s v="Delivered"/>
    <n v="9"/>
    <n v="1140"/>
    <n v="114"/>
    <n v="205.20000000000002"/>
    <s v="Jan"/>
    <n v="2024"/>
    <s v="Delayed"/>
    <s v="Normal"/>
    <s v="Yes"/>
  </r>
  <r>
    <s v="ORD0294"/>
    <d v="2024-06-17T00:00:00"/>
    <s v="CUST078"/>
    <s v="Shanthi Venkatesh"/>
    <x v="17"/>
    <s v="Kerala"/>
    <x v="1"/>
    <s v="Perfume 100ml"/>
    <n v="1"/>
    <n v="1200"/>
    <n v="5"/>
    <n v="1140"/>
    <x v="4"/>
    <s v="Pending"/>
    <n v="1"/>
    <n v="1200"/>
    <n v="60"/>
    <n v="228"/>
    <s v="Jun"/>
    <n v="2024"/>
    <s v="Fast"/>
    <s v="Normal"/>
    <s v="No"/>
  </r>
  <r>
    <s v="ORD0295"/>
    <d v="2023-07-02T00:00:00"/>
    <s v="CUST008"/>
    <s v="Sridhar Venkatesh"/>
    <x v="14"/>
    <s v="Maharashtra"/>
    <x v="0"/>
    <s v="Yoga Mat 6mm"/>
    <n v="4"/>
    <n v="650"/>
    <n v="20"/>
    <n v="2080"/>
    <x v="5"/>
    <s v="Pending"/>
    <n v="5"/>
    <n v="2600"/>
    <n v="520"/>
    <n v="416"/>
    <s v="Jul"/>
    <n v="2023"/>
    <s v="Delayed"/>
    <s v="Normal"/>
    <s v="Yes"/>
  </r>
  <r>
    <s v="ORD0296"/>
    <d v="2023-02-01T00:00:00"/>
    <s v="CUST008"/>
    <s v="Sridhar Venkatesh"/>
    <x v="14"/>
    <s v="Maharashtra"/>
    <x v="5"/>
    <s v="USB Hub"/>
    <n v="1"/>
    <n v="900"/>
    <n v="15"/>
    <n v="765"/>
    <x v="2"/>
    <s v="Delivered"/>
    <n v="9"/>
    <n v="900"/>
    <n v="135"/>
    <n v="153"/>
    <s v="Feb"/>
    <n v="2023"/>
    <s v="Delayed"/>
    <s v="Normal"/>
    <s v="No"/>
  </r>
  <r>
    <s v="ORD0297"/>
    <d v="2024-06-11T00:00:00"/>
    <s v="CUST032"/>
    <s v="Indira Rangasamy"/>
    <x v="0"/>
    <s v="Tamil Nadu"/>
    <x v="0"/>
    <s v="Yoga Mat 6mm"/>
    <n v="4"/>
    <n v="650"/>
    <n v="20"/>
    <n v="2080"/>
    <x v="2"/>
    <s v="Cancelled"/>
    <n v="0"/>
    <n v="2600"/>
    <n v="520"/>
    <n v="416"/>
    <s v="Jun"/>
    <n v="2024"/>
    <s v="Fast"/>
    <s v="Normal"/>
    <s v="No"/>
  </r>
  <r>
    <s v="ORD0298"/>
    <d v="2024-04-27T00:00:00"/>
    <s v="CUST099"/>
    <s v="Tamil Mani"/>
    <x v="19"/>
    <s v="Maharashtra"/>
    <x v="7"/>
    <s v="Sticky Notes 400pcs"/>
    <n v="4"/>
    <n v="120"/>
    <n v="20"/>
    <n v="384"/>
    <x v="5"/>
    <s v="Delivered"/>
    <n v="1"/>
    <n v="480"/>
    <n v="96"/>
    <n v="76.800000000000011"/>
    <s v="Apr"/>
    <n v="2024"/>
    <s v="Fast"/>
    <s v="Normal"/>
    <s v="Yes"/>
  </r>
  <r>
    <s v="ORD0299"/>
    <d v="2024-06-19T00:00:00"/>
    <s v="CUST041"/>
    <s v="Mohan Annamalai"/>
    <x v="18"/>
    <s v="Tamil Nadu"/>
    <x v="0"/>
    <s v="Resistance Bands Set"/>
    <n v="3"/>
    <n v="450"/>
    <n v="0"/>
    <n v="1350"/>
    <x v="1"/>
    <s v="Delivered"/>
    <n v="7"/>
    <n v="1350"/>
    <n v="0"/>
    <n v="270"/>
    <s v="Jun"/>
    <n v="2024"/>
    <s v="Delayed"/>
    <s v="Normal"/>
    <s v="No"/>
  </r>
  <r>
    <s v="ORD0300"/>
    <d v="2024-03-27T00:00:00"/>
    <s v="CUST020"/>
    <s v="Indira Raj"/>
    <x v="15"/>
    <s v="Tamil Nadu"/>
    <x v="3"/>
    <s v="Sugar 1kg"/>
    <n v="3"/>
    <n v="55"/>
    <n v="15"/>
    <n v="140.25"/>
    <x v="3"/>
    <s v="Pending"/>
    <n v="4"/>
    <n v="165"/>
    <n v="24.75"/>
    <n v="28.05"/>
    <s v="Mar"/>
    <n v="2024"/>
    <s v="Delayed"/>
    <s v="Normal"/>
    <s v="No"/>
  </r>
  <r>
    <s v="ORD0301"/>
    <d v="2024-02-08T00:00:00"/>
    <s v="CUST015"/>
    <s v="Muthukumar Iyer"/>
    <x v="12"/>
    <s v="Tamil Nadu"/>
    <x v="2"/>
    <s v="Board Game Monopoly"/>
    <n v="2"/>
    <n v="800"/>
    <n v="15"/>
    <n v="1360"/>
    <x v="3"/>
    <s v="Cancelled"/>
    <n v="0"/>
    <n v="1600"/>
    <n v="240"/>
    <n v="272"/>
    <s v="Feb"/>
    <n v="2024"/>
    <s v="Fast"/>
    <s v="Normal"/>
    <s v="No"/>
  </r>
  <r>
    <s v="ORD0302"/>
    <d v="2023-02-16T00:00:00"/>
    <s v="CUST020"/>
    <s v="Indira Raj"/>
    <x v="15"/>
    <s v="Tamil Nadu"/>
    <x v="6"/>
    <s v="Mixer Grinder"/>
    <n v="4"/>
    <n v="2800"/>
    <n v="10"/>
    <n v="10080"/>
    <x v="2"/>
    <s v="Delivered"/>
    <n v="9"/>
    <n v="11200"/>
    <n v="1120"/>
    <n v="2016"/>
    <s v="Feb"/>
    <n v="2023"/>
    <s v="Delayed"/>
    <s v="High Value"/>
    <s v="No"/>
  </r>
  <r>
    <s v="ORD0303"/>
    <d v="2023-09-28T00:00:00"/>
    <s v="CUST063"/>
    <s v="Indira Pandian"/>
    <x v="19"/>
    <s v="Maharashtra"/>
    <x v="6"/>
    <s v="Steel Water Bottle"/>
    <n v="3"/>
    <n v="350"/>
    <n v="0"/>
    <n v="1050"/>
    <x v="2"/>
    <s v="Delivered"/>
    <n v="1"/>
    <n v="1050"/>
    <n v="0"/>
    <n v="210"/>
    <s v="Sep"/>
    <n v="2023"/>
    <s v="Fast"/>
    <s v="Normal"/>
    <s v="No"/>
  </r>
  <r>
    <s v="ORD0304"/>
    <d v="2024-01-28T00:00:00"/>
    <s v="CUST022"/>
    <s v="Senthil Balakrishnan"/>
    <x v="7"/>
    <s v="Tamil Nadu"/>
    <x v="7"/>
    <s v="Gel Pens Pack10"/>
    <n v="4"/>
    <n v="85"/>
    <n v="0"/>
    <n v="340"/>
    <x v="2"/>
    <s v="Cancelled"/>
    <n v="0"/>
    <n v="340"/>
    <n v="0"/>
    <n v="68"/>
    <s v="Jan"/>
    <n v="2024"/>
    <s v="Fast"/>
    <s v="Normal"/>
    <s v="Yes"/>
  </r>
  <r>
    <s v="ORD0305"/>
    <d v="2024-05-02T00:00:00"/>
    <s v="CUST020"/>
    <s v="Indira Raj"/>
    <x v="15"/>
    <s v="Tamil Nadu"/>
    <x v="4"/>
    <s v="Ethnic Saree"/>
    <n v="1"/>
    <n v="2800"/>
    <n v="15"/>
    <n v="2380"/>
    <x v="4"/>
    <s v="Pending"/>
    <n v="3"/>
    <n v="2800"/>
    <n v="420"/>
    <n v="476"/>
    <s v="May"/>
    <n v="2024"/>
    <s v="Fast"/>
    <s v="Normal"/>
    <s v="No"/>
  </r>
  <r>
    <s v="ORD0306"/>
    <d v="2023-04-09T00:00:00"/>
    <s v="CUST030"/>
    <s v="Kalpana Velayutham"/>
    <x v="2"/>
    <s v="Tamil Nadu"/>
    <x v="4"/>
    <s v="Denim Jeans"/>
    <n v="4"/>
    <n v="1600"/>
    <n v="0"/>
    <n v="6400"/>
    <x v="1"/>
    <s v="Pending"/>
    <n v="1"/>
    <n v="6400"/>
    <n v="0"/>
    <n v="1280"/>
    <s v="Apr"/>
    <n v="2023"/>
    <s v="Fast"/>
    <s v="High Value"/>
    <s v="Yes"/>
  </r>
  <r>
    <s v="ORD0307"/>
    <d v="2024-01-23T00:00:00"/>
    <s v="CUST051"/>
    <s v="Bhavana Gopal"/>
    <x v="1"/>
    <s v="Tamil Nadu"/>
    <x v="4"/>
    <s v="Men's Formal Shirt"/>
    <n v="4"/>
    <n v="1200"/>
    <n v="0"/>
    <n v="4800"/>
    <x v="5"/>
    <s v="Delivered"/>
    <n v="8"/>
    <n v="4800"/>
    <n v="0"/>
    <n v="960"/>
    <s v="Jan"/>
    <n v="2024"/>
    <s v="Delayed"/>
    <s v="Normal"/>
    <s v="No"/>
  </r>
  <r>
    <s v="ORD0308"/>
    <d v="2023-11-23T00:00:00"/>
    <s v="CUST036"/>
    <s v="Kavitha Nair"/>
    <x v="8"/>
    <s v="Tamil Nadu"/>
    <x v="1"/>
    <s v="Foundation"/>
    <n v="4"/>
    <n v="650"/>
    <n v="5"/>
    <n v="2470"/>
    <x v="2"/>
    <s v="Delivered"/>
    <n v="2"/>
    <n v="2600"/>
    <n v="130"/>
    <n v="494"/>
    <s v="Nov"/>
    <n v="2023"/>
    <s v="Fast"/>
    <s v="Normal"/>
    <s v="No"/>
  </r>
  <r>
    <s v="ORD0309"/>
    <d v="2023-02-27T00:00:00"/>
    <s v="CUST020"/>
    <s v="Indira Raj"/>
    <x v="15"/>
    <s v="Tamil Nadu"/>
    <x v="4"/>
    <s v="Denim Jeans"/>
    <n v="3"/>
    <n v="1600"/>
    <n v="5"/>
    <n v="4560"/>
    <x v="2"/>
    <s v="Delivered"/>
    <n v="6"/>
    <n v="4800"/>
    <n v="240"/>
    <n v="912"/>
    <s v="Feb"/>
    <n v="2023"/>
    <s v="Delayed"/>
    <s v="Normal"/>
    <s v="No"/>
  </r>
  <r>
    <s v="ORD0310"/>
    <d v="2023-09-25T00:00:00"/>
    <s v="CUST053"/>
    <s v="Gayatri Chandran"/>
    <x v="6"/>
    <s v="Delhi"/>
    <x v="5"/>
    <s v="Laptop"/>
    <n v="1"/>
    <n v="45000"/>
    <n v="5"/>
    <n v="42750"/>
    <x v="2"/>
    <s v="Pending"/>
    <n v="1"/>
    <n v="45000"/>
    <n v="2250"/>
    <n v="8550"/>
    <s v="Sep"/>
    <n v="2023"/>
    <s v="Fast"/>
    <s v="High Value"/>
    <s v="No"/>
  </r>
  <r>
    <s v="ORD0311"/>
    <d v="2024-05-30T00:00:00"/>
    <s v="CUST088"/>
    <s v="Gopal Ramasamy"/>
    <x v="5"/>
    <s v="Tamil Nadu"/>
    <x v="1"/>
    <s v="Sunscreen SPF50"/>
    <n v="3"/>
    <n v="320"/>
    <n v="0"/>
    <n v="960"/>
    <x v="2"/>
    <s v="Delivered"/>
    <n v="6"/>
    <n v="960"/>
    <n v="0"/>
    <n v="192"/>
    <s v="May"/>
    <n v="2024"/>
    <s v="Delayed"/>
    <s v="Normal"/>
    <s v="No"/>
  </r>
  <r>
    <s v="ORD0312"/>
    <d v="2023-04-16T00:00:00"/>
    <s v="CUST071"/>
    <s v="Revathi Kumar"/>
    <x v="3"/>
    <s v="Tamil Nadu"/>
    <x v="7"/>
    <s v="Sticky Notes 400pcs"/>
    <n v="2"/>
    <n v="120"/>
    <n v="0"/>
    <n v="240"/>
    <x v="5"/>
    <s v="Delivered"/>
    <n v="5"/>
    <n v="240"/>
    <n v="0"/>
    <n v="48"/>
    <s v="Apr"/>
    <n v="2023"/>
    <s v="Delayed"/>
    <s v="Normal"/>
    <s v="Yes"/>
  </r>
  <r>
    <s v="ORD0313"/>
    <d v="2023-10-07T00:00:00"/>
    <s v="CUST033"/>
    <s v="Anita Pillai"/>
    <x v="2"/>
    <s v="Tamil Nadu"/>
    <x v="5"/>
    <s v="USB Hub"/>
    <n v="4"/>
    <n v="900"/>
    <n v="5"/>
    <n v="3420"/>
    <x v="2"/>
    <s v="Delivered"/>
    <n v="4"/>
    <n v="3600"/>
    <n v="180"/>
    <n v="684"/>
    <s v="Oct"/>
    <n v="2023"/>
    <s v="Delayed"/>
    <s v="Normal"/>
    <s v="Yes"/>
  </r>
  <r>
    <s v="ORD0314"/>
    <d v="2023-11-23T00:00:00"/>
    <s v="CUST055"/>
    <s v="Aruna Iyer"/>
    <x v="16"/>
    <s v="Tamil Nadu"/>
    <x v="0"/>
    <s v="Sports Shoes"/>
    <n v="2"/>
    <n v="2800"/>
    <n v="0"/>
    <n v="5600"/>
    <x v="5"/>
    <s v="Delivered"/>
    <n v="8"/>
    <n v="5600"/>
    <n v="0"/>
    <n v="1120"/>
    <s v="Nov"/>
    <n v="2023"/>
    <s v="Delayed"/>
    <s v="High Value"/>
    <s v="No"/>
  </r>
  <r>
    <s v="ORD0315"/>
    <d v="2023-05-30T00:00:00"/>
    <s v="CUST022"/>
    <s v="Senthil Balakrishnan"/>
    <x v="7"/>
    <s v="Tamil Nadu"/>
    <x v="4"/>
    <s v="Casual Dress"/>
    <n v="4"/>
    <n v="1100"/>
    <n v="0"/>
    <n v="4400"/>
    <x v="2"/>
    <s v="Cancelled"/>
    <n v="0"/>
    <n v="4400"/>
    <n v="0"/>
    <n v="880"/>
    <s v="May"/>
    <n v="2023"/>
    <s v="Fast"/>
    <s v="Normal"/>
    <s v="No"/>
  </r>
  <r>
    <s v="ORD0316"/>
    <d v="2024-05-27T00:00:00"/>
    <s v="CUST078"/>
    <s v="Shanthi Venkatesh"/>
    <x v="17"/>
    <s v="Kerala"/>
    <x v="7"/>
    <s v="Leadership Mindset"/>
    <n v="3"/>
    <n v="350"/>
    <n v="0"/>
    <n v="1050"/>
    <x v="5"/>
    <s v="Delivered"/>
    <n v="6"/>
    <n v="1050"/>
    <n v="0"/>
    <n v="210"/>
    <s v="May"/>
    <n v="2024"/>
    <s v="Delayed"/>
    <s v="Normal"/>
    <s v="No"/>
  </r>
  <r>
    <s v="ORD0317"/>
    <d v="2023-12-20T00:00:00"/>
    <s v="CUST017"/>
    <s v="Harish Balakrishnan"/>
    <x v="4"/>
    <s v="Telangana"/>
    <x v="6"/>
    <s v="Air Fryer"/>
    <n v="4"/>
    <n v="4500"/>
    <n v="20"/>
    <n v="14400"/>
    <x v="4"/>
    <s v="Delivered"/>
    <n v="3"/>
    <n v="18000"/>
    <n v="3600"/>
    <n v="2880"/>
    <s v="Dec"/>
    <n v="2023"/>
    <s v="Fast"/>
    <s v="High Value"/>
    <s v="No"/>
  </r>
  <r>
    <s v="ORD0318"/>
    <d v="2023-07-22T00:00:00"/>
    <s v="CUST074"/>
    <s v="Bharathi Raj"/>
    <x v="8"/>
    <s v="Tamil Nadu"/>
    <x v="2"/>
    <s v="Remote Control Car"/>
    <n v="1"/>
    <n v="1200"/>
    <n v="20"/>
    <n v="960"/>
    <x v="0"/>
    <s v="Delivered"/>
    <n v="9"/>
    <n v="1200"/>
    <n v="240"/>
    <n v="192"/>
    <s v="Jul"/>
    <n v="2023"/>
    <s v="Delayed"/>
    <s v="Normal"/>
    <s v="Yes"/>
  </r>
  <r>
    <s v="ORD0319"/>
    <d v="2024-03-24T00:00:00"/>
    <s v="CUST032"/>
    <s v="Indira Rangasamy"/>
    <x v="0"/>
    <s v="Tamil Nadu"/>
    <x v="2"/>
    <s v="LEGO Classic Set"/>
    <n v="2"/>
    <n v="1800"/>
    <n v="5"/>
    <n v="3420"/>
    <x v="4"/>
    <s v="Pending"/>
    <n v="4"/>
    <n v="3600"/>
    <n v="180"/>
    <n v="684"/>
    <s v="Mar"/>
    <n v="2024"/>
    <s v="Delayed"/>
    <s v="Normal"/>
    <s v="Yes"/>
  </r>
  <r>
    <s v="ORD0320"/>
    <d v="2024-06-19T00:00:00"/>
    <s v="CUST013"/>
    <s v="Shalini Ramachandran"/>
    <x v="1"/>
    <s v="Tamil Nadu"/>
    <x v="6"/>
    <s v="Air Fryer"/>
    <n v="2"/>
    <n v="4500"/>
    <n v="15"/>
    <n v="7650"/>
    <x v="4"/>
    <s v="Delivered"/>
    <n v="8"/>
    <n v="9000"/>
    <n v="1350"/>
    <n v="1530"/>
    <s v="Jun"/>
    <n v="2024"/>
    <s v="Delayed"/>
    <s v="High Value"/>
    <s v="No"/>
  </r>
  <r>
    <s v="ORD0321"/>
    <d v="2023-10-09T00:00:00"/>
    <s v="CUST020"/>
    <s v="Indira Raj"/>
    <x v="15"/>
    <s v="Tamil Nadu"/>
    <x v="4"/>
    <s v="Casual Dress"/>
    <n v="2"/>
    <n v="1100"/>
    <n v="15"/>
    <n v="1870"/>
    <x v="0"/>
    <s v="Delivered"/>
    <n v="9"/>
    <n v="2200"/>
    <n v="330"/>
    <n v="374"/>
    <s v="Oct"/>
    <n v="2023"/>
    <s v="Delayed"/>
    <s v="Normal"/>
    <s v="No"/>
  </r>
  <r>
    <s v="ORD0322"/>
    <d v="2023-09-06T00:00:00"/>
    <s v="CUST079"/>
    <s v="Kumar Murugan"/>
    <x v="22"/>
    <s v="Tamil Nadu"/>
    <x v="4"/>
    <s v="Ethnic Saree"/>
    <n v="1"/>
    <n v="2800"/>
    <n v="10"/>
    <n v="2520"/>
    <x v="2"/>
    <s v="Delivered"/>
    <n v="4"/>
    <n v="2800"/>
    <n v="280"/>
    <n v="504"/>
    <s v="Sep"/>
    <n v="2023"/>
    <s v="Delayed"/>
    <s v="Normal"/>
    <s v="No"/>
  </r>
  <r>
    <s v="ORD0323"/>
    <d v="2023-11-07T00:00:00"/>
    <s v="CUST086"/>
    <s v="Akash Rajan"/>
    <x v="3"/>
    <s v="Tamil Nadu"/>
    <x v="6"/>
    <s v="Induction Cooktop"/>
    <n v="4"/>
    <n v="2200"/>
    <n v="0"/>
    <n v="8800"/>
    <x v="5"/>
    <s v="Delivered"/>
    <n v="7"/>
    <n v="8800"/>
    <n v="0"/>
    <n v="1760"/>
    <s v="Nov"/>
    <n v="2023"/>
    <s v="Delayed"/>
    <s v="High Value"/>
    <s v="No"/>
  </r>
  <r>
    <s v="ORD0324"/>
    <d v="2023-10-19T00:00:00"/>
    <s v="CUST065"/>
    <s v="Lavanya Velayutham"/>
    <x v="1"/>
    <s v="Tamil Nadu"/>
    <x v="4"/>
    <s v="Denim Jeans"/>
    <n v="4"/>
    <n v="1600"/>
    <n v="15"/>
    <n v="5440"/>
    <x v="5"/>
    <s v="Delivered"/>
    <n v="4"/>
    <n v="6400"/>
    <n v="960"/>
    <n v="1088"/>
    <s v="Oct"/>
    <n v="2023"/>
    <s v="Delayed"/>
    <s v="High Value"/>
    <s v="No"/>
  </r>
  <r>
    <s v="ORD0325"/>
    <d v="2023-10-25T00:00:00"/>
    <s v="CUST042"/>
    <s v="Deepa Narayanan"/>
    <x v="0"/>
    <s v="Tamil Nadu"/>
    <x v="2"/>
    <s v="Play-Doh Set"/>
    <n v="2"/>
    <n v="280"/>
    <n v="10"/>
    <n v="504"/>
    <x v="5"/>
    <s v="Cancelled"/>
    <n v="0"/>
    <n v="560"/>
    <n v="56"/>
    <n v="100.80000000000001"/>
    <s v="Oct"/>
    <n v="2023"/>
    <s v="Fast"/>
    <s v="Normal"/>
    <s v="No"/>
  </r>
  <r>
    <s v="ORD0326"/>
    <d v="2023-07-20T00:00:00"/>
    <s v="CUST093"/>
    <s v="Jayashree Narayanan"/>
    <x v="7"/>
    <s v="Tamil Nadu"/>
    <x v="1"/>
    <s v="Face Wash 100ml"/>
    <n v="4"/>
    <n v="180"/>
    <n v="5"/>
    <n v="684"/>
    <x v="0"/>
    <s v="Delivered"/>
    <n v="1"/>
    <n v="720"/>
    <n v="36"/>
    <n v="136.80000000000001"/>
    <s v="Jul"/>
    <n v="2023"/>
    <s v="Fast"/>
    <s v="Normal"/>
    <s v="No"/>
  </r>
  <r>
    <s v="ORD0327"/>
    <d v="2024-04-07T00:00:00"/>
    <s v="CUST090"/>
    <s v="Ramesh Sharma"/>
    <x v="18"/>
    <s v="Tamil Nadu"/>
    <x v="5"/>
    <s v="USB Hub"/>
    <n v="4"/>
    <n v="900"/>
    <n v="20"/>
    <n v="2880"/>
    <x v="4"/>
    <s v="Cancelled"/>
    <n v="0"/>
    <n v="3600"/>
    <n v="720"/>
    <n v="576"/>
    <s v="Apr"/>
    <n v="2024"/>
    <s v="Fast"/>
    <s v="Normal"/>
    <s v="Yes"/>
  </r>
  <r>
    <s v="ORD0328"/>
    <d v="2023-11-08T00:00:00"/>
    <s v="CUST093"/>
    <s v="Jayashree Narayanan"/>
    <x v="7"/>
    <s v="Tamil Nadu"/>
    <x v="3"/>
    <s v="Instant Coffee 100g"/>
    <n v="2"/>
    <n v="220"/>
    <n v="15"/>
    <n v="374"/>
    <x v="2"/>
    <s v="Cancelled"/>
    <n v="0"/>
    <n v="440"/>
    <n v="66"/>
    <n v="74.8"/>
    <s v="Nov"/>
    <n v="2023"/>
    <s v="Fast"/>
    <s v="Normal"/>
    <s v="No"/>
  </r>
  <r>
    <s v="ORD0329"/>
    <d v="2023-11-07T00:00:00"/>
    <s v="CUST003"/>
    <s v="Muthukumar Mani"/>
    <x v="5"/>
    <s v="Tamil Nadu"/>
    <x v="1"/>
    <s v="Face Serum"/>
    <n v="3"/>
    <n v="890"/>
    <n v="10"/>
    <n v="2403"/>
    <x v="1"/>
    <s v="Delivered"/>
    <n v="3"/>
    <n v="2670"/>
    <n v="267"/>
    <n v="480.6"/>
    <s v="Nov"/>
    <n v="2023"/>
    <s v="Fast"/>
    <s v="Normal"/>
    <s v="No"/>
  </r>
  <r>
    <s v="ORD0330"/>
    <d v="2024-01-31T00:00:00"/>
    <s v="CUST079"/>
    <s v="Kumar Murugan"/>
    <x v="22"/>
    <s v="Tamil Nadu"/>
    <x v="3"/>
    <s v="Almonds 250g"/>
    <n v="4"/>
    <n v="280"/>
    <n v="5"/>
    <n v="1064"/>
    <x v="2"/>
    <s v="Delivered"/>
    <n v="3"/>
    <n v="1120"/>
    <n v="56"/>
    <n v="212.8"/>
    <s v="Jan"/>
    <n v="2024"/>
    <s v="Fast"/>
    <s v="Normal"/>
    <s v="No"/>
  </r>
  <r>
    <s v="ORD0331"/>
    <d v="2023-02-12T00:00:00"/>
    <s v="CUST085"/>
    <s v="Sathish Balakrishnan"/>
    <x v="2"/>
    <s v="Tamil Nadu"/>
    <x v="4"/>
    <s v="Ethnic Saree"/>
    <n v="3"/>
    <n v="2800"/>
    <n v="5"/>
    <n v="7980"/>
    <x v="2"/>
    <s v="Delivered"/>
    <n v="8"/>
    <n v="8400"/>
    <n v="420"/>
    <n v="1596"/>
    <s v="Feb"/>
    <n v="2023"/>
    <s v="Delayed"/>
    <s v="High Value"/>
    <s v="Yes"/>
  </r>
  <r>
    <s v="ORD0332"/>
    <d v="2023-05-09T00:00:00"/>
    <s v="CUST014"/>
    <s v="Rajesh Velayutham"/>
    <x v="3"/>
    <s v="Tamil Nadu"/>
    <x v="0"/>
    <s v="Badminton Racket"/>
    <n v="1"/>
    <n v="950"/>
    <n v="0"/>
    <n v="950"/>
    <x v="2"/>
    <s v="Delivered"/>
    <n v="10"/>
    <n v="950"/>
    <n v="0"/>
    <n v="190"/>
    <s v="May"/>
    <n v="2023"/>
    <s v="Delayed"/>
    <s v="Normal"/>
    <s v="No"/>
  </r>
  <r>
    <s v="ORD0333"/>
    <d v="2023-09-17T00:00:00"/>
    <s v="CUST046"/>
    <s v="Shanthi Sundaram"/>
    <x v="12"/>
    <s v="Tamil Nadu"/>
    <x v="6"/>
    <s v="Dinner Set 24pcs"/>
    <n v="1"/>
    <n v="1800"/>
    <n v="5"/>
    <n v="1710"/>
    <x v="5"/>
    <s v="Delivered"/>
    <n v="3"/>
    <n v="1800"/>
    <n v="90"/>
    <n v="342"/>
    <s v="Sep"/>
    <n v="2023"/>
    <s v="Fast"/>
    <s v="Normal"/>
    <s v="Yes"/>
  </r>
  <r>
    <s v="ORD0334"/>
    <d v="2023-05-06T00:00:00"/>
    <s v="CUST099"/>
    <s v="Tamil Mani"/>
    <x v="19"/>
    <s v="Maharashtra"/>
    <x v="3"/>
    <s v="Whole Wheat Atta 10kg"/>
    <n v="3"/>
    <n v="450"/>
    <n v="5"/>
    <n v="1282.5"/>
    <x v="3"/>
    <s v="Delivered"/>
    <n v="7"/>
    <n v="1350"/>
    <n v="67.5"/>
    <n v="256.5"/>
    <s v="May"/>
    <n v="2023"/>
    <s v="Delayed"/>
    <s v="Normal"/>
    <s v="Yes"/>
  </r>
  <r>
    <s v="ORD0335"/>
    <d v="2023-10-01T00:00:00"/>
    <s v="CUST078"/>
    <s v="Shanthi Venkatesh"/>
    <x v="17"/>
    <s v="Kerala"/>
    <x v="7"/>
    <s v="Python Programming"/>
    <n v="4"/>
    <n v="449"/>
    <n v="10"/>
    <n v="1616.4"/>
    <x v="4"/>
    <s v="Delivered"/>
    <n v="10"/>
    <n v="1796"/>
    <n v="179.60000000000002"/>
    <n v="323.28000000000003"/>
    <s v="Oct"/>
    <n v="2023"/>
    <s v="Delayed"/>
    <s v="Normal"/>
    <s v="Yes"/>
  </r>
  <r>
    <s v="ORD0336"/>
    <d v="2024-01-31T00:00:00"/>
    <s v="CUST075"/>
    <s v="Vasanth Velayutham"/>
    <x v="17"/>
    <s v="Kerala"/>
    <x v="4"/>
    <s v="Denim Jeans"/>
    <n v="1"/>
    <n v="1600"/>
    <n v="15"/>
    <n v="1360"/>
    <x v="1"/>
    <s v="Returned"/>
    <n v="4"/>
    <n v="1600"/>
    <n v="240"/>
    <n v="272"/>
    <s v="Jan"/>
    <n v="2024"/>
    <s v="Delayed"/>
    <s v="Normal"/>
    <s v="No"/>
  </r>
  <r>
    <s v="ORD0337"/>
    <d v="2023-01-25T00:00:00"/>
    <s v="CUST046"/>
    <s v="Shanthi Sundaram"/>
    <x v="12"/>
    <s v="Tamil Nadu"/>
    <x v="2"/>
    <s v="Wooden Blocks"/>
    <n v="3"/>
    <n v="380"/>
    <n v="0"/>
    <n v="1140"/>
    <x v="3"/>
    <s v="Delivered"/>
    <n v="3"/>
    <n v="1140"/>
    <n v="0"/>
    <n v="228"/>
    <s v="Jan"/>
    <n v="2023"/>
    <s v="Fast"/>
    <s v="Normal"/>
    <s v="No"/>
  </r>
  <r>
    <s v="ORD0338"/>
    <d v="2023-04-29T00:00:00"/>
    <s v="CUST053"/>
    <s v="Gayatri Chandran"/>
    <x v="6"/>
    <s v="Delhi"/>
    <x v="7"/>
    <s v="SQL Mastery"/>
    <n v="4"/>
    <n v="380"/>
    <n v="5"/>
    <n v="1444"/>
    <x v="5"/>
    <s v="Returned"/>
    <n v="2"/>
    <n v="1520"/>
    <n v="76"/>
    <n v="288.8"/>
    <s v="Apr"/>
    <n v="2023"/>
    <s v="Fast"/>
    <s v="Normal"/>
    <s v="Yes"/>
  </r>
  <r>
    <s v="ORD0339"/>
    <d v="2023-06-27T00:00:00"/>
    <s v="CUST011"/>
    <s v="Yogesh Krishnan"/>
    <x v="17"/>
    <s v="Kerala"/>
    <x v="7"/>
    <s v="SQL Mastery"/>
    <n v="4"/>
    <n v="380"/>
    <n v="0"/>
    <n v="1520"/>
    <x v="4"/>
    <s v="Delivered"/>
    <n v="2"/>
    <n v="1520"/>
    <n v="0"/>
    <n v="304"/>
    <s v="Jun"/>
    <n v="2023"/>
    <s v="Fast"/>
    <s v="Normal"/>
    <s v="No"/>
  </r>
  <r>
    <s v="ORD0340"/>
    <d v="2024-05-25T00:00:00"/>
    <s v="CUST053"/>
    <s v="Gayatri Chandran"/>
    <x v="6"/>
    <s v="Delhi"/>
    <x v="4"/>
    <s v="Denim Jeans"/>
    <n v="4"/>
    <n v="1600"/>
    <n v="0"/>
    <n v="6400"/>
    <x v="1"/>
    <s v="Delivered"/>
    <n v="10"/>
    <n v="6400"/>
    <n v="0"/>
    <n v="1280"/>
    <s v="May"/>
    <n v="2024"/>
    <s v="Delayed"/>
    <s v="High Value"/>
    <s v="Yes"/>
  </r>
  <r>
    <s v="ORD0341"/>
    <d v="2023-03-15T00:00:00"/>
    <s v="CUST017"/>
    <s v="Harish Balakrishnan"/>
    <x v="4"/>
    <s v="Telangana"/>
    <x v="2"/>
    <s v="Barbie Doll"/>
    <n v="4"/>
    <n v="950"/>
    <n v="0"/>
    <n v="3800"/>
    <x v="1"/>
    <s v="Delivered"/>
    <n v="7"/>
    <n v="3800"/>
    <n v="0"/>
    <n v="760"/>
    <s v="Mar"/>
    <n v="2023"/>
    <s v="Delayed"/>
    <s v="Normal"/>
    <s v="No"/>
  </r>
  <r>
    <s v="ORD0342"/>
    <d v="2024-06-02T00:00:00"/>
    <s v="CUST087"/>
    <s v="Pooja Perumal"/>
    <x v="1"/>
    <s v="Tamil Nadu"/>
    <x v="0"/>
    <s v="Resistance Bands Set"/>
    <n v="3"/>
    <n v="450"/>
    <n v="15"/>
    <n v="1147.5"/>
    <x v="0"/>
    <s v="Delivered"/>
    <n v="10"/>
    <n v="1350"/>
    <n v="202.5"/>
    <n v="229.5"/>
    <s v="Jun"/>
    <n v="2024"/>
    <s v="Delayed"/>
    <s v="Normal"/>
    <s v="Yes"/>
  </r>
  <r>
    <s v="ORD0343"/>
    <d v="2023-12-21T00:00:00"/>
    <s v="CUST071"/>
    <s v="Revathi Kumar"/>
    <x v="3"/>
    <s v="Tamil Nadu"/>
    <x v="3"/>
    <s v="Whole Wheat Atta 10kg"/>
    <n v="3"/>
    <n v="450"/>
    <n v="15"/>
    <n v="1147.5"/>
    <x v="4"/>
    <s v="Delivered"/>
    <n v="4"/>
    <n v="1350"/>
    <n v="202.5"/>
    <n v="229.5"/>
    <s v="Dec"/>
    <n v="2023"/>
    <s v="Delayed"/>
    <s v="Normal"/>
    <s v="No"/>
  </r>
  <r>
    <s v="ORD0344"/>
    <d v="2023-05-28T00:00:00"/>
    <s v="CUST047"/>
    <s v="Ponmani Raj"/>
    <x v="7"/>
    <s v="Tamil Nadu"/>
    <x v="4"/>
    <s v="Polo T-Shirt"/>
    <n v="1"/>
    <n v="799"/>
    <n v="10"/>
    <n v="719.1"/>
    <x v="0"/>
    <s v="Pending"/>
    <n v="2"/>
    <n v="799"/>
    <n v="79.900000000000006"/>
    <n v="143.82000000000002"/>
    <s v="May"/>
    <n v="2023"/>
    <s v="Fast"/>
    <s v="Normal"/>
    <s v="Yes"/>
  </r>
  <r>
    <s v="ORD0345"/>
    <d v="2024-05-17T00:00:00"/>
    <s v="CUST011"/>
    <s v="Yogesh Krishnan"/>
    <x v="17"/>
    <s v="Kerala"/>
    <x v="6"/>
    <s v="Non-Stick Pan"/>
    <n v="1"/>
    <n v="850"/>
    <n v="0"/>
    <n v="850"/>
    <x v="5"/>
    <s v="Delivered"/>
    <n v="1"/>
    <n v="850"/>
    <n v="0"/>
    <n v="170"/>
    <s v="May"/>
    <n v="2024"/>
    <s v="Fast"/>
    <s v="Normal"/>
    <s v="No"/>
  </r>
  <r>
    <s v="ORD0346"/>
    <d v="2023-06-05T00:00:00"/>
    <s v="CUST040"/>
    <s v="Rajesh Pandian"/>
    <x v="10"/>
    <s v="Tamil Nadu"/>
    <x v="4"/>
    <s v="Polo T-Shirt"/>
    <n v="4"/>
    <n v="799"/>
    <n v="5"/>
    <n v="3036.2"/>
    <x v="4"/>
    <s v="Delivered"/>
    <n v="1"/>
    <n v="3196"/>
    <n v="159.80000000000001"/>
    <n v="607.24"/>
    <s v="Jun"/>
    <n v="2023"/>
    <s v="Fast"/>
    <s v="Normal"/>
    <s v="No"/>
  </r>
  <r>
    <s v="ORD0347"/>
    <d v="2023-05-03T00:00:00"/>
    <s v="CUST051"/>
    <s v="Bhavana Gopal"/>
    <x v="1"/>
    <s v="Tamil Nadu"/>
    <x v="6"/>
    <s v="Dinner Set 24pcs"/>
    <n v="2"/>
    <n v="1800"/>
    <n v="0"/>
    <n v="3600"/>
    <x v="0"/>
    <s v="Delivered"/>
    <n v="9"/>
    <n v="3600"/>
    <n v="0"/>
    <n v="720"/>
    <s v="May"/>
    <n v="2023"/>
    <s v="Delayed"/>
    <s v="Normal"/>
    <s v="No"/>
  </r>
  <r>
    <s v="ORD0348"/>
    <d v="2024-06-14T00:00:00"/>
    <s v="CUST092"/>
    <s v="Sridhar Narayanan"/>
    <x v="11"/>
    <s v="Tamil Nadu"/>
    <x v="4"/>
    <s v="Casual Dress"/>
    <n v="1"/>
    <n v="1100"/>
    <n v="0"/>
    <n v="1100"/>
    <x v="2"/>
    <s v="Delivered"/>
    <n v="1"/>
    <n v="1100"/>
    <n v="0"/>
    <n v="220"/>
    <s v="Jun"/>
    <n v="2024"/>
    <s v="Fast"/>
    <s v="Normal"/>
    <s v="No"/>
  </r>
  <r>
    <s v="ORD0349"/>
    <d v="2024-04-12T00:00:00"/>
    <s v="CUST040"/>
    <s v="Rajesh Pandian"/>
    <x v="10"/>
    <s v="Tamil Nadu"/>
    <x v="0"/>
    <s v="Yoga Mat 6mm"/>
    <n v="2"/>
    <n v="650"/>
    <n v="10"/>
    <n v="1170"/>
    <x v="3"/>
    <s v="Delivered"/>
    <n v="6"/>
    <n v="1300"/>
    <n v="130"/>
    <n v="234"/>
    <s v="Apr"/>
    <n v="2024"/>
    <s v="Delayed"/>
    <s v="Normal"/>
    <s v="No"/>
  </r>
  <r>
    <s v="ORD0350"/>
    <d v="2024-02-05T00:00:00"/>
    <s v="CUST038"/>
    <s v="Rohini Prabhu"/>
    <x v="6"/>
    <s v="Delhi"/>
    <x v="4"/>
    <s v="Denim Jeans"/>
    <n v="2"/>
    <n v="1600"/>
    <n v="0"/>
    <n v="3200"/>
    <x v="1"/>
    <s v="Cancelled"/>
    <n v="0"/>
    <n v="3200"/>
    <n v="0"/>
    <n v="640"/>
    <s v="Feb"/>
    <n v="2024"/>
    <s v="Fast"/>
    <s v="Normal"/>
    <s v="No"/>
  </r>
  <r>
    <s v="ORD0351"/>
    <d v="2023-09-18T00:00:00"/>
    <s v="CUST089"/>
    <s v="Arjun Devi"/>
    <x v="0"/>
    <s v="Tamil Nadu"/>
    <x v="0"/>
    <s v="Football Size5"/>
    <n v="1"/>
    <n v="800"/>
    <n v="5"/>
    <n v="760"/>
    <x v="1"/>
    <s v="Cancelled"/>
    <n v="0"/>
    <n v="800"/>
    <n v="40"/>
    <n v="152"/>
    <s v="Sep"/>
    <n v="2023"/>
    <s v="Fast"/>
    <s v="Normal"/>
    <s v="No"/>
  </r>
  <r>
    <s v="ORD0352"/>
    <d v="2024-03-16T00:00:00"/>
    <s v="CUST088"/>
    <s v="Gopal Ramasamy"/>
    <x v="5"/>
    <s v="Tamil Nadu"/>
    <x v="1"/>
    <s v="Face Serum"/>
    <n v="2"/>
    <n v="890"/>
    <n v="15"/>
    <n v="1513"/>
    <x v="3"/>
    <s v="Pending"/>
    <n v="1"/>
    <n v="1780"/>
    <n v="267"/>
    <n v="302.60000000000002"/>
    <s v="Mar"/>
    <n v="2024"/>
    <s v="Fast"/>
    <s v="Normal"/>
    <s v="Yes"/>
  </r>
  <r>
    <s v="ORD0353"/>
    <d v="2023-05-02T00:00:00"/>
    <s v="CUST018"/>
    <s v="Rajesh Balakrishnan"/>
    <x v="7"/>
    <s v="Tamil Nadu"/>
    <x v="0"/>
    <s v="Yoga Mat 6mm"/>
    <n v="3"/>
    <n v="650"/>
    <n v="20"/>
    <n v="1560"/>
    <x v="5"/>
    <s v="Delivered"/>
    <n v="10"/>
    <n v="1950"/>
    <n v="390"/>
    <n v="312"/>
    <s v="May"/>
    <n v="2023"/>
    <s v="Delayed"/>
    <s v="Normal"/>
    <s v="No"/>
  </r>
  <r>
    <s v="ORD0354"/>
    <d v="2024-01-18T00:00:00"/>
    <s v="CUST097"/>
    <s v="Aarav Ramasamy"/>
    <x v="3"/>
    <s v="Tamil Nadu"/>
    <x v="6"/>
    <s v="Water Purifier RO"/>
    <n v="3"/>
    <n v="9500"/>
    <n v="15"/>
    <n v="24225"/>
    <x v="5"/>
    <s v="Delivered"/>
    <n v="9"/>
    <n v="28500"/>
    <n v="4275"/>
    <n v="4845"/>
    <s v="Jan"/>
    <n v="2024"/>
    <s v="Delayed"/>
    <s v="High Value"/>
    <s v="No"/>
  </r>
  <r>
    <s v="ORD0355"/>
    <d v="2024-01-18T00:00:00"/>
    <s v="CUST043"/>
    <s v="Nithya Prabhu"/>
    <x v="14"/>
    <s v="Maharashtra"/>
    <x v="3"/>
    <s v="Sunflower Oil 1L"/>
    <n v="1"/>
    <n v="160"/>
    <n v="0"/>
    <n v="160"/>
    <x v="2"/>
    <s v="Returned"/>
    <n v="2"/>
    <n v="160"/>
    <n v="0"/>
    <n v="32"/>
    <s v="Jan"/>
    <n v="2024"/>
    <s v="Fast"/>
    <s v="Normal"/>
    <s v="No"/>
  </r>
  <r>
    <s v="ORD0356"/>
    <d v="2024-05-06T00:00:00"/>
    <s v="CUST057"/>
    <s v="Vimal Sharma"/>
    <x v="16"/>
    <s v="Tamil Nadu"/>
    <x v="5"/>
    <s v="Laptop"/>
    <n v="2"/>
    <n v="45000"/>
    <n v="0"/>
    <n v="90000"/>
    <x v="0"/>
    <s v="Returned"/>
    <n v="1"/>
    <n v="90000"/>
    <n v="0"/>
    <n v="18000"/>
    <s v="May"/>
    <n v="2024"/>
    <s v="Fast"/>
    <s v="High Value"/>
    <s v="No"/>
  </r>
  <r>
    <s v="ORD0357"/>
    <d v="2023-07-16T00:00:00"/>
    <s v="CUST096"/>
    <s v="Suresh Murugan"/>
    <x v="22"/>
    <s v="Tamil Nadu"/>
    <x v="2"/>
    <s v="Soft Toy Bear"/>
    <n v="1"/>
    <n v="350"/>
    <n v="15"/>
    <n v="297.5"/>
    <x v="5"/>
    <s v="Delivered"/>
    <n v="2"/>
    <n v="350"/>
    <n v="52.5"/>
    <n v="59.5"/>
    <s v="Jul"/>
    <n v="2023"/>
    <s v="Fast"/>
    <s v="Normal"/>
    <s v="Yes"/>
  </r>
  <r>
    <s v="ORD0358"/>
    <d v="2024-02-11T00:00:00"/>
    <s v="CUST060"/>
    <s v="Balaji Natarajan"/>
    <x v="20"/>
    <s v="Tamil Nadu"/>
    <x v="2"/>
    <s v="Soft Toy Bear"/>
    <n v="4"/>
    <n v="350"/>
    <n v="15"/>
    <n v="1190"/>
    <x v="5"/>
    <s v="Delivered"/>
    <n v="10"/>
    <n v="1400"/>
    <n v="210"/>
    <n v="238"/>
    <s v="Feb"/>
    <n v="2024"/>
    <s v="Delayed"/>
    <s v="Normal"/>
    <s v="Yes"/>
  </r>
  <r>
    <s v="ORD0359"/>
    <d v="2023-10-03T00:00:00"/>
    <s v="CUST084"/>
    <s v="Pooja Velayutham"/>
    <x v="4"/>
    <s v="Telangana"/>
    <x v="6"/>
    <s v="Pressure Cooker 5L"/>
    <n v="1"/>
    <n v="1500"/>
    <n v="5"/>
    <n v="1425"/>
    <x v="1"/>
    <s v="Delivered"/>
    <n v="6"/>
    <n v="1500"/>
    <n v="75"/>
    <n v="285"/>
    <s v="Oct"/>
    <n v="2023"/>
    <s v="Delayed"/>
    <s v="Normal"/>
    <s v="No"/>
  </r>
  <r>
    <s v="ORD0360"/>
    <d v="2023-09-10T00:00:00"/>
    <s v="CUST014"/>
    <s v="Rajesh Velayutham"/>
    <x v="3"/>
    <s v="Tamil Nadu"/>
    <x v="2"/>
    <s v="Kids Drawing Kit"/>
    <n v="2"/>
    <n v="320"/>
    <n v="5"/>
    <n v="608"/>
    <x v="5"/>
    <s v="Cancelled"/>
    <n v="0"/>
    <n v="640"/>
    <n v="32"/>
    <n v="121.60000000000001"/>
    <s v="Sep"/>
    <n v="2023"/>
    <s v="Fast"/>
    <s v="Normal"/>
    <s v="Yes"/>
  </r>
  <r>
    <s v="ORD0361"/>
    <d v="2023-06-07T00:00:00"/>
    <s v="CUST021"/>
    <s v="Karthik Sharma"/>
    <x v="18"/>
    <s v="Tamil Nadu"/>
    <x v="3"/>
    <s v="Almonds 250g"/>
    <n v="4"/>
    <n v="280"/>
    <n v="5"/>
    <n v="1064"/>
    <x v="5"/>
    <s v="Returned"/>
    <n v="2"/>
    <n v="1120"/>
    <n v="56"/>
    <n v="212.8"/>
    <s v="Jun"/>
    <n v="2023"/>
    <s v="Fast"/>
    <s v="Normal"/>
    <s v="No"/>
  </r>
  <r>
    <s v="ORD0362"/>
    <d v="2023-06-18T00:00:00"/>
    <s v="CUST046"/>
    <s v="Shanthi Sundaram"/>
    <x v="12"/>
    <s v="Tamil Nadu"/>
    <x v="3"/>
    <s v="Green Tea 25bags"/>
    <n v="1"/>
    <n v="180"/>
    <n v="20"/>
    <n v="144"/>
    <x v="2"/>
    <s v="Delivered"/>
    <n v="4"/>
    <n v="180"/>
    <n v="36"/>
    <n v="28.8"/>
    <s v="Jun"/>
    <n v="2023"/>
    <s v="Delayed"/>
    <s v="Normal"/>
    <s v="Yes"/>
  </r>
  <r>
    <s v="ORD0363"/>
    <d v="2023-01-17T00:00:00"/>
    <s v="CUST034"/>
    <s v="Aarav Krishnan"/>
    <x v="19"/>
    <s v="Maharashtra"/>
    <x v="5"/>
    <s v="Laptop"/>
    <n v="4"/>
    <n v="45000"/>
    <n v="0"/>
    <n v="180000"/>
    <x v="0"/>
    <s v="Returned"/>
    <n v="4"/>
    <n v="180000"/>
    <n v="0"/>
    <n v="36000"/>
    <s v="Jan"/>
    <n v="2023"/>
    <s v="Delayed"/>
    <s v="High Value"/>
    <s v="No"/>
  </r>
  <r>
    <s v="ORD0364"/>
    <d v="2023-04-17T00:00:00"/>
    <s v="CUST096"/>
    <s v="Suresh Murugan"/>
    <x v="22"/>
    <s v="Tamil Nadu"/>
    <x v="3"/>
    <s v="Basmati Rice 5kg"/>
    <n v="4"/>
    <n v="320"/>
    <n v="15"/>
    <n v="1088"/>
    <x v="5"/>
    <s v="Delivered"/>
    <n v="8"/>
    <n v="1280"/>
    <n v="192"/>
    <n v="217.60000000000002"/>
    <s v="Apr"/>
    <n v="2023"/>
    <s v="Delayed"/>
    <s v="Normal"/>
    <s v="No"/>
  </r>
  <r>
    <s v="ORD0365"/>
    <d v="2024-01-18T00:00:00"/>
    <s v="CUST066"/>
    <s v="Ranjith Gopal"/>
    <x v="21"/>
    <s v="Karnataka"/>
    <x v="7"/>
    <s v="Scientific Calculator"/>
    <n v="4"/>
    <n v="750"/>
    <n v="10"/>
    <n v="2700"/>
    <x v="4"/>
    <s v="Delivered"/>
    <n v="10"/>
    <n v="3000"/>
    <n v="300"/>
    <n v="540"/>
    <s v="Jan"/>
    <n v="2024"/>
    <s v="Delayed"/>
    <s v="Normal"/>
    <s v="No"/>
  </r>
  <r>
    <s v="ORD0366"/>
    <d v="2023-06-13T00:00:00"/>
    <s v="CUST022"/>
    <s v="Senthil Balakrishnan"/>
    <x v="7"/>
    <s v="Tamil Nadu"/>
    <x v="7"/>
    <s v="Highlighters Set"/>
    <n v="3"/>
    <n v="180"/>
    <n v="0"/>
    <n v="540"/>
    <x v="3"/>
    <s v="Delivered"/>
    <n v="6"/>
    <n v="540"/>
    <n v="0"/>
    <n v="108"/>
    <s v="Jun"/>
    <n v="2023"/>
    <s v="Delayed"/>
    <s v="Normal"/>
    <s v="No"/>
  </r>
  <r>
    <s v="ORD0367"/>
    <d v="2023-07-07T00:00:00"/>
    <s v="CUST099"/>
    <s v="Tamil Mani"/>
    <x v="19"/>
    <s v="Maharashtra"/>
    <x v="6"/>
    <s v="Knife Set"/>
    <n v="3"/>
    <n v="650"/>
    <n v="10"/>
    <n v="1755"/>
    <x v="1"/>
    <s v="Delivered"/>
    <n v="8"/>
    <n v="1950"/>
    <n v="195"/>
    <n v="351"/>
    <s v="Jul"/>
    <n v="2023"/>
    <s v="Delayed"/>
    <s v="Normal"/>
    <s v="No"/>
  </r>
  <r>
    <s v="ORD0368"/>
    <d v="2023-08-09T00:00:00"/>
    <s v="CUST056"/>
    <s v="Ashok Chinnaswamy"/>
    <x v="16"/>
    <s v="Tamil Nadu"/>
    <x v="3"/>
    <s v="Sugar 1kg"/>
    <n v="4"/>
    <n v="55"/>
    <n v="5"/>
    <n v="209"/>
    <x v="4"/>
    <s v="Delivered"/>
    <n v="4"/>
    <n v="220"/>
    <n v="11"/>
    <n v="41.800000000000004"/>
    <s v="Aug"/>
    <n v="2023"/>
    <s v="Delayed"/>
    <s v="Normal"/>
    <s v="No"/>
  </r>
  <r>
    <s v="ORD0369"/>
    <d v="2024-06-16T00:00:00"/>
    <s v="CUST045"/>
    <s v="Harish Thangavel"/>
    <x v="2"/>
    <s v="Tamil Nadu"/>
    <x v="6"/>
    <s v="Air Fryer"/>
    <n v="2"/>
    <n v="4500"/>
    <n v="10"/>
    <n v="8100"/>
    <x v="0"/>
    <s v="Delivered"/>
    <n v="5"/>
    <n v="9000"/>
    <n v="900"/>
    <n v="1620"/>
    <s v="Jun"/>
    <n v="2024"/>
    <s v="Delayed"/>
    <s v="High Value"/>
    <s v="Yes"/>
  </r>
  <r>
    <s v="ORD0370"/>
    <d v="2023-06-28T00:00:00"/>
    <s v="CUST092"/>
    <s v="Sridhar Narayanan"/>
    <x v="11"/>
    <s v="Tamil Nadu"/>
    <x v="7"/>
    <s v="Gel Pens Pack10"/>
    <n v="4"/>
    <n v="85"/>
    <n v="0"/>
    <n v="340"/>
    <x v="3"/>
    <s v="Delivered"/>
    <n v="8"/>
    <n v="340"/>
    <n v="0"/>
    <n v="68"/>
    <s v="Jun"/>
    <n v="2023"/>
    <s v="Delayed"/>
    <s v="Normal"/>
    <s v="No"/>
  </r>
  <r>
    <s v="ORD0371"/>
    <d v="2023-07-22T00:00:00"/>
    <s v="CUST059"/>
    <s v="Sridhar Balakrishnan"/>
    <x v="20"/>
    <s v="Tamil Nadu"/>
    <x v="2"/>
    <s v="Wooden Blocks"/>
    <n v="3"/>
    <n v="380"/>
    <n v="5"/>
    <n v="1083"/>
    <x v="3"/>
    <s v="Pending"/>
    <n v="3"/>
    <n v="1140"/>
    <n v="57"/>
    <n v="216.60000000000002"/>
    <s v="Jul"/>
    <n v="2023"/>
    <s v="Fast"/>
    <s v="Normal"/>
    <s v="Yes"/>
  </r>
  <r>
    <s v="ORD0372"/>
    <d v="2023-01-24T00:00:00"/>
    <s v="CUST084"/>
    <s v="Pooja Velayutham"/>
    <x v="4"/>
    <s v="Telangana"/>
    <x v="0"/>
    <s v="Sports Shoes"/>
    <n v="1"/>
    <n v="2800"/>
    <n v="15"/>
    <n v="2380"/>
    <x v="3"/>
    <s v="Pending"/>
    <n v="1"/>
    <n v="2800"/>
    <n v="420"/>
    <n v="476"/>
    <s v="Jan"/>
    <n v="2023"/>
    <s v="Fast"/>
    <s v="Normal"/>
    <s v="No"/>
  </r>
  <r>
    <s v="ORD0373"/>
    <d v="2023-12-18T00:00:00"/>
    <s v="CUST045"/>
    <s v="Harish Thangavel"/>
    <x v="2"/>
    <s v="Tamil Nadu"/>
    <x v="4"/>
    <s v="Women's Kurti"/>
    <n v="2"/>
    <n v="850"/>
    <n v="5"/>
    <n v="1615"/>
    <x v="2"/>
    <s v="Returned"/>
    <n v="1"/>
    <n v="1700"/>
    <n v="85"/>
    <n v="323"/>
    <s v="Dec"/>
    <n v="2023"/>
    <s v="Fast"/>
    <s v="Normal"/>
    <s v="No"/>
  </r>
  <r>
    <s v="ORD0374"/>
    <d v="2023-04-07T00:00:00"/>
    <s v="CUST050"/>
    <s v="Kavitha Devi"/>
    <x v="14"/>
    <s v="Maharashtra"/>
    <x v="5"/>
    <s v="Smart Watch"/>
    <n v="2"/>
    <n v="8000"/>
    <n v="10"/>
    <n v="14400"/>
    <x v="1"/>
    <s v="Returned"/>
    <n v="2"/>
    <n v="16000"/>
    <n v="1600"/>
    <n v="2880"/>
    <s v="Apr"/>
    <n v="2023"/>
    <s v="Fast"/>
    <s v="High Value"/>
    <s v="No"/>
  </r>
  <r>
    <s v="ORD0375"/>
    <d v="2023-12-15T00:00:00"/>
    <s v="CUST081"/>
    <s v="Anita Iyer"/>
    <x v="2"/>
    <s v="Tamil Nadu"/>
    <x v="5"/>
    <s v="Tablet"/>
    <n v="1"/>
    <n v="22000"/>
    <n v="0"/>
    <n v="22000"/>
    <x v="0"/>
    <s v="Cancelled"/>
    <n v="0"/>
    <n v="22000"/>
    <n v="0"/>
    <n v="4400"/>
    <s v="Dec"/>
    <n v="2023"/>
    <s v="Fast"/>
    <s v="High Value"/>
    <s v="No"/>
  </r>
  <r>
    <s v="ORD0376"/>
    <d v="2023-01-07T00:00:00"/>
    <s v="CUST041"/>
    <s v="Mohan Annamalai"/>
    <x v="18"/>
    <s v="Tamil Nadu"/>
    <x v="2"/>
    <s v="Play-Doh Set"/>
    <n v="4"/>
    <n v="280"/>
    <n v="0"/>
    <n v="1120"/>
    <x v="2"/>
    <s v="Delivered"/>
    <n v="10"/>
    <n v="1120"/>
    <n v="0"/>
    <n v="224"/>
    <s v="Jan"/>
    <n v="2023"/>
    <s v="Delayed"/>
    <s v="Normal"/>
    <s v="Yes"/>
  </r>
  <r>
    <s v="ORD0377"/>
    <d v="2023-03-16T00:00:00"/>
    <s v="CUST021"/>
    <s v="Karthik Sharma"/>
    <x v="18"/>
    <s v="Tamil Nadu"/>
    <x v="6"/>
    <s v="Induction Cooktop"/>
    <n v="4"/>
    <n v="2200"/>
    <n v="15"/>
    <n v="7480"/>
    <x v="3"/>
    <s v="Delivered"/>
    <n v="6"/>
    <n v="8800"/>
    <n v="1320"/>
    <n v="1496"/>
    <s v="Mar"/>
    <n v="2023"/>
    <s v="Delayed"/>
    <s v="High Value"/>
    <s v="No"/>
  </r>
  <r>
    <s v="ORD0378"/>
    <d v="2023-07-21T00:00:00"/>
    <s v="CUST076"/>
    <s v="Selvam Chinnaswamy"/>
    <x v="13"/>
    <s v="Tamil Nadu"/>
    <x v="4"/>
    <s v="Sports T-Shirt"/>
    <n v="2"/>
    <n v="699"/>
    <n v="0"/>
    <n v="1398"/>
    <x v="0"/>
    <s v="Delivered"/>
    <n v="8"/>
    <n v="1398"/>
    <n v="0"/>
    <n v="279.60000000000002"/>
    <s v="Jul"/>
    <n v="2023"/>
    <s v="Delayed"/>
    <s v="Normal"/>
    <s v="No"/>
  </r>
  <r>
    <s v="ORD0379"/>
    <d v="2024-05-24T00:00:00"/>
    <s v="CUST007"/>
    <s v="Vijay Gopal"/>
    <x v="9"/>
    <s v="Tamil Nadu"/>
    <x v="4"/>
    <s v="Casual Dress"/>
    <n v="1"/>
    <n v="1100"/>
    <n v="5"/>
    <n v="1045"/>
    <x v="2"/>
    <s v="Delivered"/>
    <n v="5"/>
    <n v="1100"/>
    <n v="55"/>
    <n v="209"/>
    <s v="May"/>
    <n v="2024"/>
    <s v="Delayed"/>
    <s v="Normal"/>
    <s v="No"/>
  </r>
  <r>
    <s v="ORD0380"/>
    <d v="2023-02-26T00:00:00"/>
    <s v="CUST080"/>
    <s v="Vasanth Pillai"/>
    <x v="4"/>
    <s v="Telangana"/>
    <x v="7"/>
    <s v="SQL Mastery"/>
    <n v="3"/>
    <n v="380"/>
    <n v="20"/>
    <n v="912"/>
    <x v="4"/>
    <s v="Delivered"/>
    <n v="1"/>
    <n v="1140"/>
    <n v="228"/>
    <n v="182.4"/>
    <s v="Feb"/>
    <n v="2023"/>
    <s v="Fast"/>
    <s v="Normal"/>
    <s v="Yes"/>
  </r>
  <r>
    <s v="ORD0381"/>
    <d v="2023-10-26T00:00:00"/>
    <s v="CUST043"/>
    <s v="Nithya Prabhu"/>
    <x v="14"/>
    <s v="Maharashtra"/>
    <x v="1"/>
    <s v="Lipstick"/>
    <n v="3"/>
    <n v="280"/>
    <n v="5"/>
    <n v="798"/>
    <x v="1"/>
    <s v="Cancelled"/>
    <n v="0"/>
    <n v="840"/>
    <n v="42"/>
    <n v="159.60000000000002"/>
    <s v="Oct"/>
    <n v="2023"/>
    <s v="Fast"/>
    <s v="Normal"/>
    <s v="No"/>
  </r>
  <r>
    <s v="ORD0382"/>
    <d v="2024-06-17T00:00:00"/>
    <s v="CUST025"/>
    <s v="Vasanth Sundaram"/>
    <x v="22"/>
    <s v="Tamil Nadu"/>
    <x v="3"/>
    <s v="Sugar 1kg"/>
    <n v="1"/>
    <n v="55"/>
    <n v="10"/>
    <n v="49.5"/>
    <x v="5"/>
    <s v="Pending"/>
    <n v="5"/>
    <n v="55"/>
    <n v="5.5"/>
    <n v="9.9"/>
    <s v="Jun"/>
    <n v="2024"/>
    <s v="Delayed"/>
    <s v="Normal"/>
    <s v="No"/>
  </r>
  <r>
    <s v="ORD0383"/>
    <d v="2023-04-01T00:00:00"/>
    <s v="CUST062"/>
    <s v="Vinoth Gopal"/>
    <x v="7"/>
    <s v="Tamil Nadu"/>
    <x v="3"/>
    <s v="Almonds 250g"/>
    <n v="3"/>
    <n v="280"/>
    <n v="0"/>
    <n v="840"/>
    <x v="1"/>
    <s v="Delivered"/>
    <n v="10"/>
    <n v="840"/>
    <n v="0"/>
    <n v="168"/>
    <s v="Apr"/>
    <n v="2023"/>
    <s v="Delayed"/>
    <s v="Normal"/>
    <s v="Yes"/>
  </r>
  <r>
    <s v="ORD0384"/>
    <d v="2023-02-16T00:00:00"/>
    <s v="CUST008"/>
    <s v="Sridhar Venkatesh"/>
    <x v="14"/>
    <s v="Maharashtra"/>
    <x v="3"/>
    <s v="Honey 500g"/>
    <n v="4"/>
    <n v="350"/>
    <n v="20"/>
    <n v="1120"/>
    <x v="5"/>
    <s v="Returned"/>
    <n v="5"/>
    <n v="1400"/>
    <n v="280"/>
    <n v="224"/>
    <s v="Feb"/>
    <n v="2023"/>
    <s v="Delayed"/>
    <s v="Normal"/>
    <s v="No"/>
  </r>
  <r>
    <s v="ORD0385"/>
    <d v="2023-11-28T00:00:00"/>
    <s v="CUST081"/>
    <s v="Anita Iyer"/>
    <x v="2"/>
    <s v="Tamil Nadu"/>
    <x v="7"/>
    <s v="Business Analytics"/>
    <n v="1"/>
    <n v="520"/>
    <n v="0"/>
    <n v="520"/>
    <x v="2"/>
    <s v="Pending"/>
    <n v="1"/>
    <n v="520"/>
    <n v="0"/>
    <n v="104"/>
    <s v="Nov"/>
    <n v="2023"/>
    <s v="Fast"/>
    <s v="Normal"/>
    <s v="No"/>
  </r>
  <r>
    <s v="ORD0386"/>
    <d v="2023-07-11T00:00:00"/>
    <s v="CUST091"/>
    <s v="Kavitha Rajan"/>
    <x v="12"/>
    <s v="Tamil Nadu"/>
    <x v="6"/>
    <s v="Pressure Cooker 5L"/>
    <n v="3"/>
    <n v="1500"/>
    <n v="0"/>
    <n v="4500"/>
    <x v="0"/>
    <s v="Delivered"/>
    <n v="7"/>
    <n v="4500"/>
    <n v="0"/>
    <n v="900"/>
    <s v="Jul"/>
    <n v="2023"/>
    <s v="Delayed"/>
    <s v="Normal"/>
    <s v="No"/>
  </r>
  <r>
    <s v="ORD0387"/>
    <d v="2023-06-30T00:00:00"/>
    <s v="CUST044"/>
    <s v="Arjun Duraisamy"/>
    <x v="8"/>
    <s v="Tamil Nadu"/>
    <x v="4"/>
    <s v="Men's Formal Shirt"/>
    <n v="2"/>
    <n v="1200"/>
    <n v="10"/>
    <n v="2160"/>
    <x v="5"/>
    <s v="Delivered"/>
    <n v="1"/>
    <n v="2400"/>
    <n v="240"/>
    <n v="432"/>
    <s v="Jun"/>
    <n v="2023"/>
    <s v="Fast"/>
    <s v="Normal"/>
    <s v="No"/>
  </r>
  <r>
    <s v="ORD0388"/>
    <d v="2023-06-12T00:00:00"/>
    <s v="CUST002"/>
    <s v="Tamilarasi Annamalai"/>
    <x v="8"/>
    <s v="Tamil Nadu"/>
    <x v="0"/>
    <s v="Resistance Bands Set"/>
    <n v="2"/>
    <n v="450"/>
    <n v="0"/>
    <n v="900"/>
    <x v="5"/>
    <s v="Delivered"/>
    <n v="6"/>
    <n v="900"/>
    <n v="0"/>
    <n v="180"/>
    <s v="Jun"/>
    <n v="2023"/>
    <s v="Delayed"/>
    <s v="Normal"/>
    <s v="No"/>
  </r>
  <r>
    <s v="ORD0389"/>
    <d v="2024-01-29T00:00:00"/>
    <s v="CUST063"/>
    <s v="Indira Pandian"/>
    <x v="19"/>
    <s v="Maharashtra"/>
    <x v="5"/>
    <s v="Laptop"/>
    <n v="4"/>
    <n v="45000"/>
    <n v="0"/>
    <n v="180000"/>
    <x v="3"/>
    <s v="Returned"/>
    <n v="5"/>
    <n v="180000"/>
    <n v="0"/>
    <n v="36000"/>
    <s v="Jan"/>
    <n v="2024"/>
    <s v="Delayed"/>
    <s v="High Value"/>
    <s v="No"/>
  </r>
  <r>
    <s v="ORD0390"/>
    <d v="2023-07-24T00:00:00"/>
    <s v="CUST015"/>
    <s v="Muthukumar Iyer"/>
    <x v="12"/>
    <s v="Tamil Nadu"/>
    <x v="3"/>
    <s v="Basmati Rice 5kg"/>
    <n v="4"/>
    <n v="320"/>
    <n v="0"/>
    <n v="1280"/>
    <x v="1"/>
    <s v="Delivered"/>
    <n v="4"/>
    <n v="1280"/>
    <n v="0"/>
    <n v="256"/>
    <s v="Jul"/>
    <n v="2023"/>
    <s v="Delayed"/>
    <s v="Normal"/>
    <s v="No"/>
  </r>
  <r>
    <s v="ORD0391"/>
    <d v="2023-03-21T00:00:00"/>
    <s v="CUST012"/>
    <s v="Jayashree Mani"/>
    <x v="13"/>
    <s v="Tamil Nadu"/>
    <x v="5"/>
    <s v="Tablet"/>
    <n v="1"/>
    <n v="22000"/>
    <n v="15"/>
    <n v="18700"/>
    <x v="1"/>
    <s v="Cancelled"/>
    <n v="0"/>
    <n v="22000"/>
    <n v="3300"/>
    <n v="3740"/>
    <s v="Mar"/>
    <n v="2023"/>
    <s v="Fast"/>
    <s v="High Value"/>
    <s v="No"/>
  </r>
  <r>
    <s v="ORD0392"/>
    <d v="2023-05-07T00:00:00"/>
    <s v="CUST057"/>
    <s v="Vimal Sharma"/>
    <x v="16"/>
    <s v="Tamil Nadu"/>
    <x v="5"/>
    <s v="Tablet"/>
    <n v="2"/>
    <n v="22000"/>
    <n v="0"/>
    <n v="44000"/>
    <x v="3"/>
    <s v="Delivered"/>
    <n v="6"/>
    <n v="44000"/>
    <n v="0"/>
    <n v="8800"/>
    <s v="May"/>
    <n v="2023"/>
    <s v="Delayed"/>
    <s v="High Value"/>
    <s v="Yes"/>
  </r>
  <r>
    <s v="ORD0393"/>
    <d v="2023-09-14T00:00:00"/>
    <s v="CUST033"/>
    <s v="Anita Pillai"/>
    <x v="2"/>
    <s v="Tamil Nadu"/>
    <x v="3"/>
    <s v="Basmati Rice 5kg"/>
    <n v="2"/>
    <n v="320"/>
    <n v="5"/>
    <n v="608"/>
    <x v="2"/>
    <s v="Returned"/>
    <n v="1"/>
    <n v="640"/>
    <n v="32"/>
    <n v="121.60000000000001"/>
    <s v="Sep"/>
    <n v="2023"/>
    <s v="Fast"/>
    <s v="Normal"/>
    <s v="No"/>
  </r>
  <r>
    <s v="ORD0394"/>
    <d v="2023-07-19T00:00:00"/>
    <s v="CUST074"/>
    <s v="Bharathi Raj"/>
    <x v="8"/>
    <s v="Tamil Nadu"/>
    <x v="0"/>
    <s v="Dumbbell Pair 5kg"/>
    <n v="1"/>
    <n v="1200"/>
    <n v="10"/>
    <n v="1080"/>
    <x v="1"/>
    <s v="Delivered"/>
    <n v="10"/>
    <n v="1200"/>
    <n v="120"/>
    <n v="216"/>
    <s v="Jul"/>
    <n v="2023"/>
    <s v="Delayed"/>
    <s v="Normal"/>
    <s v="No"/>
  </r>
  <r>
    <s v="ORD0395"/>
    <d v="2023-09-26T00:00:00"/>
    <s v="CUST007"/>
    <s v="Vijay Gopal"/>
    <x v="9"/>
    <s v="Tamil Nadu"/>
    <x v="6"/>
    <s v="Water Purifier RO"/>
    <n v="2"/>
    <n v="9500"/>
    <n v="5"/>
    <n v="18050"/>
    <x v="2"/>
    <s v="Delivered"/>
    <n v="7"/>
    <n v="19000"/>
    <n v="950"/>
    <n v="3610"/>
    <s v="Sep"/>
    <n v="2023"/>
    <s v="Delayed"/>
    <s v="High Value"/>
    <s v="No"/>
  </r>
  <r>
    <s v="ORD0396"/>
    <d v="2024-04-14T00:00:00"/>
    <s v="CUST035"/>
    <s v="Kalpana Chandran"/>
    <x v="23"/>
    <s v="Tamil Nadu"/>
    <x v="3"/>
    <s v="Basmati Rice 5kg"/>
    <n v="1"/>
    <n v="320"/>
    <n v="5"/>
    <n v="304"/>
    <x v="0"/>
    <s v="Delivered"/>
    <n v="10"/>
    <n v="320"/>
    <n v="16"/>
    <n v="60.800000000000004"/>
    <s v="Apr"/>
    <n v="2024"/>
    <s v="Delayed"/>
    <s v="Normal"/>
    <s v="Yes"/>
  </r>
  <r>
    <s v="ORD0397"/>
    <d v="2024-06-29T00:00:00"/>
    <s v="CUST035"/>
    <s v="Kalpana Chandran"/>
    <x v="23"/>
    <s v="Tamil Nadu"/>
    <x v="4"/>
    <s v="Casual Dress"/>
    <n v="1"/>
    <n v="1100"/>
    <n v="0"/>
    <n v="1100"/>
    <x v="3"/>
    <s v="Returned"/>
    <n v="5"/>
    <n v="1100"/>
    <n v="0"/>
    <n v="220"/>
    <s v="Jun"/>
    <n v="2024"/>
    <s v="Delayed"/>
    <s v="Normal"/>
    <s v="Yes"/>
  </r>
  <r>
    <s v="ORD0398"/>
    <d v="2023-08-07T00:00:00"/>
    <s v="CUST035"/>
    <s v="Kalpana Chandran"/>
    <x v="23"/>
    <s v="Tamil Nadu"/>
    <x v="6"/>
    <s v="Air Fryer"/>
    <n v="4"/>
    <n v="4500"/>
    <n v="5"/>
    <n v="17100"/>
    <x v="5"/>
    <s v="Returned"/>
    <n v="3"/>
    <n v="18000"/>
    <n v="900"/>
    <n v="3420"/>
    <s v="Aug"/>
    <n v="2023"/>
    <s v="Fast"/>
    <s v="High Value"/>
    <s v="No"/>
  </r>
  <r>
    <s v="ORD0399"/>
    <d v="2023-04-29T00:00:00"/>
    <s v="CUST098"/>
    <s v="Harish Thangavel"/>
    <x v="17"/>
    <s v="Kerala"/>
    <x v="6"/>
    <s v="Air Fryer"/>
    <n v="4"/>
    <n v="4500"/>
    <n v="0"/>
    <n v="18000"/>
    <x v="2"/>
    <s v="Delivered"/>
    <n v="7"/>
    <n v="18000"/>
    <n v="0"/>
    <n v="3600"/>
    <s v="Apr"/>
    <n v="2023"/>
    <s v="Delayed"/>
    <s v="High Value"/>
    <s v="Yes"/>
  </r>
  <r>
    <s v="ORD0400"/>
    <d v="2024-02-16T00:00:00"/>
    <s v="CUST016"/>
    <s v="Prasad Venkatesh"/>
    <x v="23"/>
    <s v="Tamil Nadu"/>
    <x v="0"/>
    <s v="Dumbbell Pair 5kg"/>
    <n v="4"/>
    <n v="1200"/>
    <n v="5"/>
    <n v="4560"/>
    <x v="5"/>
    <s v="Cancelled"/>
    <n v="0"/>
    <n v="4800"/>
    <n v="240"/>
    <n v="912"/>
    <s v="Feb"/>
    <n v="2024"/>
    <s v="Fast"/>
    <s v="Normal"/>
    <s v="No"/>
  </r>
  <r>
    <s v="ORD0401"/>
    <d v="2023-01-30T00:00:00"/>
    <s v="CUST089"/>
    <s v="Arjun Devi"/>
    <x v="0"/>
    <s v="Tamil Nadu"/>
    <x v="5"/>
    <s v="Portable Charger"/>
    <n v="4"/>
    <n v="1200"/>
    <n v="10"/>
    <n v="4320"/>
    <x v="4"/>
    <s v="Delivered"/>
    <n v="8"/>
    <n v="4800"/>
    <n v="480"/>
    <n v="864"/>
    <s v="Jan"/>
    <n v="2023"/>
    <s v="Delayed"/>
    <s v="Normal"/>
    <s v="No"/>
  </r>
  <r>
    <s v="ORD0402"/>
    <d v="2023-09-13T00:00:00"/>
    <s v="CUST012"/>
    <s v="Jayashree Mani"/>
    <x v="13"/>
    <s v="Tamil Nadu"/>
    <x v="7"/>
    <s v="SQL Mastery"/>
    <n v="3"/>
    <n v="380"/>
    <n v="15"/>
    <n v="969"/>
    <x v="5"/>
    <s v="Returned"/>
    <n v="3"/>
    <n v="1140"/>
    <n v="171"/>
    <n v="193.8"/>
    <s v="Sep"/>
    <n v="2023"/>
    <s v="Fast"/>
    <s v="Normal"/>
    <s v="No"/>
  </r>
  <r>
    <s v="ORD0403"/>
    <d v="2023-02-17T00:00:00"/>
    <s v="CUST072"/>
    <s v="Nisha Kumar"/>
    <x v="22"/>
    <s v="Tamil Nadu"/>
    <x v="5"/>
    <s v="USB Hub"/>
    <n v="3"/>
    <n v="900"/>
    <n v="0"/>
    <n v="2700"/>
    <x v="2"/>
    <s v="Delivered"/>
    <n v="7"/>
    <n v="2700"/>
    <n v="0"/>
    <n v="540"/>
    <s v="Feb"/>
    <n v="2023"/>
    <s v="Delayed"/>
    <s v="Normal"/>
    <s v="No"/>
  </r>
  <r>
    <s v="ORD0404"/>
    <d v="2023-09-23T00:00:00"/>
    <s v="CUST007"/>
    <s v="Vijay Gopal"/>
    <x v="9"/>
    <s v="Tamil Nadu"/>
    <x v="6"/>
    <s v="Induction Cooktop"/>
    <n v="1"/>
    <n v="2200"/>
    <n v="0"/>
    <n v="2200"/>
    <x v="5"/>
    <s v="Delivered"/>
    <n v="1"/>
    <n v="2200"/>
    <n v="0"/>
    <n v="440"/>
    <s v="Sep"/>
    <n v="2023"/>
    <s v="Fast"/>
    <s v="Normal"/>
    <s v="Yes"/>
  </r>
  <r>
    <s v="ORD0405"/>
    <d v="2023-09-28T00:00:00"/>
    <s v="CUST001"/>
    <s v="Saranya Selvam"/>
    <x v="15"/>
    <s v="Tamil Nadu"/>
    <x v="4"/>
    <s v="Men's Formal Shirt"/>
    <n v="2"/>
    <n v="1200"/>
    <n v="5"/>
    <n v="2280"/>
    <x v="5"/>
    <s v="Pending"/>
    <n v="4"/>
    <n v="2400"/>
    <n v="120"/>
    <n v="456"/>
    <s v="Sep"/>
    <n v="2023"/>
    <s v="Delayed"/>
    <s v="Normal"/>
    <s v="No"/>
  </r>
  <r>
    <s v="ORD0406"/>
    <d v="2023-11-17T00:00:00"/>
    <s v="CUST041"/>
    <s v="Mohan Annamalai"/>
    <x v="18"/>
    <s v="Tamil Nadu"/>
    <x v="2"/>
    <s v="Kids Drawing Kit"/>
    <n v="1"/>
    <n v="320"/>
    <n v="10"/>
    <n v="288"/>
    <x v="0"/>
    <s v="Delivered"/>
    <n v="8"/>
    <n v="320"/>
    <n v="32"/>
    <n v="57.6"/>
    <s v="Nov"/>
    <n v="2023"/>
    <s v="Delayed"/>
    <s v="Normal"/>
    <s v="No"/>
  </r>
  <r>
    <s v="ORD0407"/>
    <d v="2024-06-15T00:00:00"/>
    <s v="CUST028"/>
    <s v="Vanitha Krishnan"/>
    <x v="18"/>
    <s v="Tamil Nadu"/>
    <x v="3"/>
    <s v="Honey 500g"/>
    <n v="4"/>
    <n v="350"/>
    <n v="0"/>
    <n v="1400"/>
    <x v="2"/>
    <s v="Delivered"/>
    <n v="6"/>
    <n v="1400"/>
    <n v="0"/>
    <n v="280"/>
    <s v="Jun"/>
    <n v="2024"/>
    <s v="Delayed"/>
    <s v="Normal"/>
    <s v="Yes"/>
  </r>
  <r>
    <s v="ORD0408"/>
    <d v="2024-02-20T00:00:00"/>
    <s v="CUST093"/>
    <s v="Jayashree Narayanan"/>
    <x v="7"/>
    <s v="Tamil Nadu"/>
    <x v="2"/>
    <s v="Wooden Blocks"/>
    <n v="4"/>
    <n v="380"/>
    <n v="10"/>
    <n v="1368"/>
    <x v="2"/>
    <s v="Cancelled"/>
    <n v="0"/>
    <n v="1520"/>
    <n v="152"/>
    <n v="273.60000000000002"/>
    <s v="Feb"/>
    <n v="2024"/>
    <s v="Fast"/>
    <s v="Normal"/>
    <s v="No"/>
  </r>
  <r>
    <s v="ORD0409"/>
    <d v="2023-05-07T00:00:00"/>
    <s v="CUST035"/>
    <s v="Kalpana Chandran"/>
    <x v="23"/>
    <s v="Tamil Nadu"/>
    <x v="4"/>
    <s v="Formal Trousers"/>
    <n v="2"/>
    <n v="1400"/>
    <n v="0"/>
    <n v="2800"/>
    <x v="0"/>
    <s v="Pending"/>
    <n v="3"/>
    <n v="2800"/>
    <n v="0"/>
    <n v="560"/>
    <s v="May"/>
    <n v="2023"/>
    <s v="Fast"/>
    <s v="Normal"/>
    <s v="Yes"/>
  </r>
  <r>
    <s v="ORD0410"/>
    <d v="2023-12-16T00:00:00"/>
    <s v="CUST054"/>
    <s v="Tamilarasi Murugan"/>
    <x v="2"/>
    <s v="Tamil Nadu"/>
    <x v="3"/>
    <s v="Biscuits Pack"/>
    <n v="1"/>
    <n v="40"/>
    <n v="10"/>
    <n v="36"/>
    <x v="0"/>
    <s v="Delivered"/>
    <n v="1"/>
    <n v="40"/>
    <n v="4"/>
    <n v="7.2"/>
    <s v="Dec"/>
    <n v="2023"/>
    <s v="Fast"/>
    <s v="Normal"/>
    <s v="Yes"/>
  </r>
  <r>
    <s v="ORD0411"/>
    <d v="2023-12-31T00:00:00"/>
    <s v="CUST029"/>
    <s v="Prasad Venkatesh"/>
    <x v="12"/>
    <s v="Tamil Nadu"/>
    <x v="5"/>
    <s v="Smart Watch"/>
    <n v="3"/>
    <n v="8000"/>
    <n v="5"/>
    <n v="22800"/>
    <x v="1"/>
    <s v="Cancelled"/>
    <n v="0"/>
    <n v="24000"/>
    <n v="1200"/>
    <n v="4560"/>
    <s v="Dec"/>
    <n v="2023"/>
    <s v="Fast"/>
    <s v="High Value"/>
    <s v="Yes"/>
  </r>
  <r>
    <s v="ORD0412"/>
    <d v="2023-05-03T00:00:00"/>
    <s v="CUST062"/>
    <s v="Vinoth Gopal"/>
    <x v="7"/>
    <s v="Tamil Nadu"/>
    <x v="7"/>
    <s v="Leadership Mindset"/>
    <n v="4"/>
    <n v="350"/>
    <n v="5"/>
    <n v="1330"/>
    <x v="1"/>
    <s v="Returned"/>
    <n v="4"/>
    <n v="1400"/>
    <n v="70"/>
    <n v="266"/>
    <s v="May"/>
    <n v="2023"/>
    <s v="Delayed"/>
    <s v="Normal"/>
    <s v="No"/>
  </r>
  <r>
    <s v="ORD0413"/>
    <d v="2023-03-17T00:00:00"/>
    <s v="CUST048"/>
    <s v="Elavarasi Karuppasamy"/>
    <x v="21"/>
    <s v="Karnataka"/>
    <x v="7"/>
    <s v="SQL Mastery"/>
    <n v="2"/>
    <n v="380"/>
    <n v="15"/>
    <n v="646"/>
    <x v="5"/>
    <s v="Returned"/>
    <n v="3"/>
    <n v="760"/>
    <n v="114"/>
    <n v="129.20000000000002"/>
    <s v="Mar"/>
    <n v="2023"/>
    <s v="Fast"/>
    <s v="Normal"/>
    <s v="No"/>
  </r>
  <r>
    <s v="ORD0414"/>
    <d v="2024-06-29T00:00:00"/>
    <s v="CUST075"/>
    <s v="Vasanth Velayutham"/>
    <x v="17"/>
    <s v="Kerala"/>
    <x v="4"/>
    <s v="Ethnic Saree"/>
    <n v="4"/>
    <n v="2800"/>
    <n v="10"/>
    <n v="10080"/>
    <x v="2"/>
    <s v="Delivered"/>
    <n v="6"/>
    <n v="11200"/>
    <n v="1120"/>
    <n v="2016"/>
    <s v="Jun"/>
    <n v="2024"/>
    <s v="Delayed"/>
    <s v="High Value"/>
    <s v="Yes"/>
  </r>
  <r>
    <s v="ORD0415"/>
    <d v="2024-01-10T00:00:00"/>
    <s v="CUST068"/>
    <s v="Vanitha Iyer"/>
    <x v="8"/>
    <s v="Tamil Nadu"/>
    <x v="0"/>
    <s v="Cricket Bat Kashmir Willow"/>
    <n v="4"/>
    <n v="1800"/>
    <n v="0"/>
    <n v="7200"/>
    <x v="0"/>
    <s v="Returned"/>
    <n v="4"/>
    <n v="7200"/>
    <n v="0"/>
    <n v="1440"/>
    <s v="Jan"/>
    <n v="2024"/>
    <s v="Delayed"/>
    <s v="High Value"/>
    <s v="No"/>
  </r>
  <r>
    <s v="ORD0416"/>
    <d v="2023-04-29T00:00:00"/>
    <s v="CUST023"/>
    <s v="Kalpana Mani"/>
    <x v="16"/>
    <s v="Tamil Nadu"/>
    <x v="5"/>
    <s v="Bluetooth Speaker"/>
    <n v="4"/>
    <n v="2500"/>
    <n v="0"/>
    <n v="10000"/>
    <x v="2"/>
    <s v="Delivered"/>
    <n v="8"/>
    <n v="10000"/>
    <n v="0"/>
    <n v="2000"/>
    <s v="Apr"/>
    <n v="2023"/>
    <s v="Delayed"/>
    <s v="High Value"/>
    <s v="Yes"/>
  </r>
  <r>
    <s v="ORD0417"/>
    <d v="2023-07-09T00:00:00"/>
    <s v="CUST099"/>
    <s v="Tamil Mani"/>
    <x v="19"/>
    <s v="Maharashtra"/>
    <x v="6"/>
    <s v="Pressure Cooker 5L"/>
    <n v="3"/>
    <n v="1500"/>
    <n v="0"/>
    <n v="4500"/>
    <x v="4"/>
    <s v="Pending"/>
    <n v="4"/>
    <n v="4500"/>
    <n v="0"/>
    <n v="900"/>
    <s v="Jul"/>
    <n v="2023"/>
    <s v="Delayed"/>
    <s v="Normal"/>
    <s v="Yes"/>
  </r>
  <r>
    <s v="ORD0418"/>
    <d v="2023-09-14T00:00:00"/>
    <s v="CUST051"/>
    <s v="Bhavana Gopal"/>
    <x v="1"/>
    <s v="Tamil Nadu"/>
    <x v="5"/>
    <s v="Tablet"/>
    <n v="2"/>
    <n v="22000"/>
    <n v="0"/>
    <n v="44000"/>
    <x v="2"/>
    <s v="Delivered"/>
    <n v="5"/>
    <n v="44000"/>
    <n v="0"/>
    <n v="8800"/>
    <s v="Sep"/>
    <n v="2023"/>
    <s v="Delayed"/>
    <s v="High Value"/>
    <s v="No"/>
  </r>
  <r>
    <s v="ORD0419"/>
    <d v="2023-10-29T00:00:00"/>
    <s v="CUST066"/>
    <s v="Ranjith Gopal"/>
    <x v="21"/>
    <s v="Karnataka"/>
    <x v="5"/>
    <s v="Laptop"/>
    <n v="1"/>
    <n v="45000"/>
    <n v="10"/>
    <n v="40500"/>
    <x v="5"/>
    <s v="Delivered"/>
    <n v="4"/>
    <n v="45000"/>
    <n v="4500"/>
    <n v="8100"/>
    <s v="Oct"/>
    <n v="2023"/>
    <s v="Delayed"/>
    <s v="High Value"/>
    <s v="Yes"/>
  </r>
  <r>
    <s v="ORD0420"/>
    <d v="2024-02-15T00:00:00"/>
    <s v="CUST070"/>
    <s v="Harish Selvam"/>
    <x v="23"/>
    <s v="Tamil Nadu"/>
    <x v="1"/>
    <s v="Shampoo 400ml"/>
    <n v="3"/>
    <n v="220"/>
    <n v="5"/>
    <n v="627"/>
    <x v="1"/>
    <s v="Pending"/>
    <n v="5"/>
    <n v="660"/>
    <n v="33"/>
    <n v="125.4"/>
    <s v="Feb"/>
    <n v="2024"/>
    <s v="Delayed"/>
    <s v="Normal"/>
    <s v="No"/>
  </r>
  <r>
    <s v="ORD0421"/>
    <d v="2023-05-18T00:00:00"/>
    <s v="CUST029"/>
    <s v="Prasad Venkatesh"/>
    <x v="12"/>
    <s v="Tamil Nadu"/>
    <x v="2"/>
    <s v="Board Game Monopoly"/>
    <n v="2"/>
    <n v="800"/>
    <n v="0"/>
    <n v="1600"/>
    <x v="3"/>
    <s v="Delivered"/>
    <n v="2"/>
    <n v="1600"/>
    <n v="0"/>
    <n v="320"/>
    <s v="May"/>
    <n v="2023"/>
    <s v="Fast"/>
    <s v="Normal"/>
    <s v="No"/>
  </r>
  <r>
    <s v="ORD0422"/>
    <d v="2023-05-18T00:00:00"/>
    <s v="CUST095"/>
    <s v="Vanitha Natarajan"/>
    <x v="4"/>
    <s v="Telangana"/>
    <x v="1"/>
    <s v="Moisturizer 50g"/>
    <n v="1"/>
    <n v="380"/>
    <n v="5"/>
    <n v="361"/>
    <x v="2"/>
    <s v="Returned"/>
    <n v="4"/>
    <n v="380"/>
    <n v="19"/>
    <n v="72.2"/>
    <s v="May"/>
    <n v="2023"/>
    <s v="Delayed"/>
    <s v="Normal"/>
    <s v="No"/>
  </r>
  <r>
    <s v="ORD0423"/>
    <d v="2023-06-18T00:00:00"/>
    <s v="CUST064"/>
    <s v="Gopal Palanisamy"/>
    <x v="12"/>
    <s v="Tamil Nadu"/>
    <x v="7"/>
    <s v="Python Programming"/>
    <n v="1"/>
    <n v="449"/>
    <n v="15"/>
    <n v="381.65"/>
    <x v="3"/>
    <s v="Returned"/>
    <n v="5"/>
    <n v="449"/>
    <n v="67.349999999999994"/>
    <n v="76.33"/>
    <s v="Jun"/>
    <n v="2023"/>
    <s v="Delayed"/>
    <s v="Normal"/>
    <s v="Yes"/>
  </r>
  <r>
    <s v="ORD0424"/>
    <d v="2024-03-28T00:00:00"/>
    <s v="CUST030"/>
    <s v="Kalpana Velayutham"/>
    <x v="2"/>
    <s v="Tamil Nadu"/>
    <x v="2"/>
    <s v="Jigsaw Puzzle 500pcs"/>
    <n v="3"/>
    <n v="450"/>
    <n v="0"/>
    <n v="1350"/>
    <x v="2"/>
    <s v="Delivered"/>
    <n v="3"/>
    <n v="1350"/>
    <n v="0"/>
    <n v="270"/>
    <s v="Mar"/>
    <n v="2024"/>
    <s v="Fast"/>
    <s v="Normal"/>
    <s v="No"/>
  </r>
  <r>
    <s v="ORD0425"/>
    <d v="2024-02-18T00:00:00"/>
    <s v="CUST033"/>
    <s v="Anita Pillai"/>
    <x v="2"/>
    <s v="Tamil Nadu"/>
    <x v="3"/>
    <s v="Almonds 250g"/>
    <n v="3"/>
    <n v="280"/>
    <n v="5"/>
    <n v="798"/>
    <x v="2"/>
    <s v="Cancelled"/>
    <n v="0"/>
    <n v="840"/>
    <n v="42"/>
    <n v="159.60000000000002"/>
    <s v="Feb"/>
    <n v="2024"/>
    <s v="Fast"/>
    <s v="Normal"/>
    <s v="Yes"/>
  </r>
  <r>
    <s v="ORD0426"/>
    <d v="2024-02-24T00:00:00"/>
    <s v="CUST010"/>
    <s v="Quamar Velayutham"/>
    <x v="5"/>
    <s v="Tamil Nadu"/>
    <x v="1"/>
    <s v="Sunscreen SPF50"/>
    <n v="4"/>
    <n v="320"/>
    <n v="0"/>
    <n v="1280"/>
    <x v="2"/>
    <s v="Delivered"/>
    <n v="5"/>
    <n v="1280"/>
    <n v="0"/>
    <n v="256"/>
    <s v="Feb"/>
    <n v="2024"/>
    <s v="Delayed"/>
    <s v="Normal"/>
    <s v="Yes"/>
  </r>
  <r>
    <s v="ORD0427"/>
    <d v="2023-01-17T00:00:00"/>
    <s v="CUST071"/>
    <s v="Revathi Kumar"/>
    <x v="3"/>
    <s v="Tamil Nadu"/>
    <x v="0"/>
    <s v="Gym Gloves"/>
    <n v="4"/>
    <n v="550"/>
    <n v="10"/>
    <n v="1980"/>
    <x v="0"/>
    <s v="Returned"/>
    <n v="4"/>
    <n v="2200"/>
    <n v="220"/>
    <n v="396"/>
    <s v="Jan"/>
    <n v="2023"/>
    <s v="Delayed"/>
    <s v="Normal"/>
    <s v="No"/>
  </r>
  <r>
    <s v="ORD0428"/>
    <d v="2023-04-07T00:00:00"/>
    <s v="CUST096"/>
    <s v="Suresh Murugan"/>
    <x v="22"/>
    <s v="Tamil Nadu"/>
    <x v="2"/>
    <s v="Jigsaw Puzzle 500pcs"/>
    <n v="1"/>
    <n v="450"/>
    <n v="10"/>
    <n v="405"/>
    <x v="5"/>
    <s v="Delivered"/>
    <n v="3"/>
    <n v="450"/>
    <n v="45"/>
    <n v="81"/>
    <s v="Apr"/>
    <n v="2023"/>
    <s v="Fast"/>
    <s v="Normal"/>
    <s v="No"/>
  </r>
  <r>
    <s v="ORD0429"/>
    <d v="2023-10-22T00:00:00"/>
    <s v="CUST078"/>
    <s v="Shanthi Venkatesh"/>
    <x v="17"/>
    <s v="Kerala"/>
    <x v="4"/>
    <s v="Sports T-Shirt"/>
    <n v="2"/>
    <n v="699"/>
    <n v="15"/>
    <n v="1188.3"/>
    <x v="2"/>
    <s v="Delivered"/>
    <n v="2"/>
    <n v="1398"/>
    <n v="209.7"/>
    <n v="237.66"/>
    <s v="Oct"/>
    <n v="2023"/>
    <s v="Fast"/>
    <s v="Normal"/>
    <s v="Yes"/>
  </r>
  <r>
    <s v="ORD0430"/>
    <d v="2023-05-14T00:00:00"/>
    <s v="CUST057"/>
    <s v="Vimal Sharma"/>
    <x v="16"/>
    <s v="Tamil Nadu"/>
    <x v="4"/>
    <s v="Leggings"/>
    <n v="1"/>
    <n v="499"/>
    <n v="0"/>
    <n v="499"/>
    <x v="3"/>
    <s v="Delivered"/>
    <n v="5"/>
    <n v="499"/>
    <n v="0"/>
    <n v="99.800000000000011"/>
    <s v="May"/>
    <n v="2023"/>
    <s v="Delayed"/>
    <s v="Normal"/>
    <s v="Yes"/>
  </r>
  <r>
    <s v="ORD0431"/>
    <d v="2023-04-22T00:00:00"/>
    <s v="CUST016"/>
    <s v="Prasad Venkatesh"/>
    <x v="23"/>
    <s v="Tamil Nadu"/>
    <x v="3"/>
    <s v="Honey 500g"/>
    <n v="2"/>
    <n v="350"/>
    <n v="5"/>
    <n v="665"/>
    <x v="1"/>
    <s v="Delivered"/>
    <n v="4"/>
    <n v="700"/>
    <n v="35"/>
    <n v="133"/>
    <s v="Apr"/>
    <n v="2023"/>
    <s v="Delayed"/>
    <s v="Normal"/>
    <s v="Yes"/>
  </r>
  <r>
    <s v="ORD0432"/>
    <d v="2023-11-30T00:00:00"/>
    <s v="CUST045"/>
    <s v="Harish Thangavel"/>
    <x v="2"/>
    <s v="Tamil Nadu"/>
    <x v="1"/>
    <s v="Hair Oil 200ml"/>
    <n v="2"/>
    <n v="140"/>
    <n v="5"/>
    <n v="266"/>
    <x v="5"/>
    <s v="Pending"/>
    <n v="2"/>
    <n v="280"/>
    <n v="14"/>
    <n v="53.2"/>
    <s v="Nov"/>
    <n v="2023"/>
    <s v="Fast"/>
    <s v="Normal"/>
    <s v="No"/>
  </r>
  <r>
    <s v="ORD0433"/>
    <d v="2023-05-01T00:00:00"/>
    <s v="CUST089"/>
    <s v="Arjun Devi"/>
    <x v="0"/>
    <s v="Tamil Nadu"/>
    <x v="0"/>
    <s v="Gym Gloves"/>
    <n v="4"/>
    <n v="550"/>
    <n v="15"/>
    <n v="1870"/>
    <x v="4"/>
    <s v="Delivered"/>
    <n v="1"/>
    <n v="2200"/>
    <n v="330"/>
    <n v="374"/>
    <s v="May"/>
    <n v="2023"/>
    <s v="Fast"/>
    <s v="Normal"/>
    <s v="No"/>
  </r>
  <r>
    <s v="ORD0434"/>
    <d v="2024-05-16T00:00:00"/>
    <s v="CUST035"/>
    <s v="Kalpana Chandran"/>
    <x v="23"/>
    <s v="Tamil Nadu"/>
    <x v="2"/>
    <s v="Jigsaw Puzzle 500pcs"/>
    <n v="2"/>
    <n v="450"/>
    <n v="0"/>
    <n v="900"/>
    <x v="0"/>
    <s v="Delivered"/>
    <n v="9"/>
    <n v="900"/>
    <n v="0"/>
    <n v="180"/>
    <s v="May"/>
    <n v="2024"/>
    <s v="Delayed"/>
    <s v="Normal"/>
    <s v="No"/>
  </r>
  <r>
    <s v="ORD0435"/>
    <d v="2023-11-21T00:00:00"/>
    <s v="CUST059"/>
    <s v="Sridhar Balakrishnan"/>
    <x v="20"/>
    <s v="Tamil Nadu"/>
    <x v="1"/>
    <s v="Shampoo 400ml"/>
    <n v="2"/>
    <n v="220"/>
    <n v="10"/>
    <n v="396"/>
    <x v="2"/>
    <s v="Delivered"/>
    <n v="9"/>
    <n v="440"/>
    <n v="44"/>
    <n v="79.2"/>
    <s v="Nov"/>
    <n v="2023"/>
    <s v="Delayed"/>
    <s v="Normal"/>
    <s v="No"/>
  </r>
  <r>
    <s v="ORD0436"/>
    <d v="2023-03-10T00:00:00"/>
    <s v="CUST045"/>
    <s v="Harish Thangavel"/>
    <x v="2"/>
    <s v="Tamil Nadu"/>
    <x v="4"/>
    <s v="Leggings"/>
    <n v="3"/>
    <n v="499"/>
    <n v="5"/>
    <n v="1422.15"/>
    <x v="0"/>
    <s v="Delivered"/>
    <n v="4"/>
    <n v="1497"/>
    <n v="74.850000000000009"/>
    <n v="284.43"/>
    <s v="Mar"/>
    <n v="2023"/>
    <s v="Delayed"/>
    <s v="Normal"/>
    <s v="No"/>
  </r>
  <r>
    <s v="ORD0437"/>
    <d v="2024-02-15T00:00:00"/>
    <s v="CUST016"/>
    <s v="Prasad Venkatesh"/>
    <x v="23"/>
    <s v="Tamil Nadu"/>
    <x v="0"/>
    <s v="Resistance Bands Set"/>
    <n v="3"/>
    <n v="450"/>
    <n v="0"/>
    <n v="1350"/>
    <x v="3"/>
    <s v="Returned"/>
    <n v="1"/>
    <n v="1350"/>
    <n v="0"/>
    <n v="270"/>
    <s v="Feb"/>
    <n v="2024"/>
    <s v="Fast"/>
    <s v="Normal"/>
    <s v="No"/>
  </r>
  <r>
    <s v="ORD0438"/>
    <d v="2023-02-08T00:00:00"/>
    <s v="CUST039"/>
    <s v="Sivakami Perumal"/>
    <x v="0"/>
    <s v="Tamil Nadu"/>
    <x v="1"/>
    <s v="Lipstick"/>
    <n v="1"/>
    <n v="280"/>
    <n v="0"/>
    <n v="280"/>
    <x v="5"/>
    <s v="Delivered"/>
    <n v="1"/>
    <n v="280"/>
    <n v="0"/>
    <n v="56"/>
    <s v="Feb"/>
    <n v="2023"/>
    <s v="Fast"/>
    <s v="Normal"/>
    <s v="No"/>
  </r>
  <r>
    <s v="ORD0439"/>
    <d v="2023-07-17T00:00:00"/>
    <s v="CUST017"/>
    <s v="Harish Balakrishnan"/>
    <x v="4"/>
    <s v="Telangana"/>
    <x v="4"/>
    <s v="Casual Dress"/>
    <n v="4"/>
    <n v="1100"/>
    <n v="5"/>
    <n v="4180"/>
    <x v="5"/>
    <s v="Delivered"/>
    <n v="8"/>
    <n v="4400"/>
    <n v="220"/>
    <n v="836"/>
    <s v="Jul"/>
    <n v="2023"/>
    <s v="Delayed"/>
    <s v="Normal"/>
    <s v="No"/>
  </r>
  <r>
    <s v="ORD0440"/>
    <d v="2023-06-16T00:00:00"/>
    <s v="CUST047"/>
    <s v="Ponmani Raj"/>
    <x v="7"/>
    <s v="Tamil Nadu"/>
    <x v="6"/>
    <s v="Knife Set"/>
    <n v="1"/>
    <n v="650"/>
    <n v="20"/>
    <n v="520"/>
    <x v="0"/>
    <s v="Returned"/>
    <n v="4"/>
    <n v="650"/>
    <n v="130"/>
    <n v="104"/>
    <s v="Jun"/>
    <n v="2023"/>
    <s v="Delayed"/>
    <s v="Normal"/>
    <s v="No"/>
  </r>
  <r>
    <s v="ORD0441"/>
    <d v="2023-05-02T00:00:00"/>
    <s v="CUST044"/>
    <s v="Arjun Duraisamy"/>
    <x v="8"/>
    <s v="Tamil Nadu"/>
    <x v="1"/>
    <s v="Body Lotion 400ml"/>
    <n v="2"/>
    <n v="260"/>
    <n v="0"/>
    <n v="520"/>
    <x v="1"/>
    <s v="Delivered"/>
    <n v="2"/>
    <n v="520"/>
    <n v="0"/>
    <n v="104"/>
    <s v="May"/>
    <n v="2023"/>
    <s v="Fast"/>
    <s v="Normal"/>
    <s v="No"/>
  </r>
  <r>
    <s v="ORD0442"/>
    <d v="2023-11-04T00:00:00"/>
    <s v="CUST058"/>
    <s v="Ashok Chinnaswamy"/>
    <x v="2"/>
    <s v="Tamil Nadu"/>
    <x v="0"/>
    <s v="Badminton Racket"/>
    <n v="4"/>
    <n v="950"/>
    <n v="0"/>
    <n v="3800"/>
    <x v="1"/>
    <s v="Returned"/>
    <n v="5"/>
    <n v="3800"/>
    <n v="0"/>
    <n v="760"/>
    <s v="Nov"/>
    <n v="2023"/>
    <s v="Delayed"/>
    <s v="Normal"/>
    <s v="Yes"/>
  </r>
  <r>
    <s v="ORD0443"/>
    <d v="2023-05-11T00:00:00"/>
    <s v="CUST066"/>
    <s v="Ranjith Gopal"/>
    <x v="21"/>
    <s v="Karnataka"/>
    <x v="7"/>
    <s v="Business Analytics"/>
    <n v="4"/>
    <n v="520"/>
    <n v="20"/>
    <n v="1664"/>
    <x v="2"/>
    <s v="Delivered"/>
    <n v="6"/>
    <n v="2080"/>
    <n v="416"/>
    <n v="332.8"/>
    <s v="May"/>
    <n v="2023"/>
    <s v="Delayed"/>
    <s v="Normal"/>
    <s v="No"/>
  </r>
  <r>
    <s v="ORD0444"/>
    <d v="2023-03-10T00:00:00"/>
    <s v="CUST073"/>
    <s v="Quamar Ramasamy"/>
    <x v="4"/>
    <s v="Telangana"/>
    <x v="5"/>
    <s v="Laptop"/>
    <n v="4"/>
    <n v="45000"/>
    <n v="5"/>
    <n v="171000"/>
    <x v="5"/>
    <s v="Delivered"/>
    <n v="7"/>
    <n v="180000"/>
    <n v="9000"/>
    <n v="34200"/>
    <s v="Mar"/>
    <n v="2023"/>
    <s v="Delayed"/>
    <s v="High Value"/>
    <s v="No"/>
  </r>
  <r>
    <s v="ORD0445"/>
    <d v="2023-11-29T00:00:00"/>
    <s v="CUST014"/>
    <s v="Rajesh Velayutham"/>
    <x v="3"/>
    <s v="Tamil Nadu"/>
    <x v="7"/>
    <s v="Python Programming"/>
    <n v="4"/>
    <n v="449"/>
    <n v="10"/>
    <n v="1616.4"/>
    <x v="0"/>
    <s v="Delivered"/>
    <n v="2"/>
    <n v="1796"/>
    <n v="179.60000000000002"/>
    <n v="323.28000000000003"/>
    <s v="Nov"/>
    <n v="2023"/>
    <s v="Fast"/>
    <s v="Normal"/>
    <s v="No"/>
  </r>
  <r>
    <s v="ORD0446"/>
    <d v="2023-08-30T00:00:00"/>
    <s v="CUST081"/>
    <s v="Anita Iyer"/>
    <x v="2"/>
    <s v="Tamil Nadu"/>
    <x v="1"/>
    <s v="Sunscreen SPF50"/>
    <n v="3"/>
    <n v="320"/>
    <n v="20"/>
    <n v="768"/>
    <x v="2"/>
    <s v="Cancelled"/>
    <n v="0"/>
    <n v="960"/>
    <n v="192"/>
    <n v="153.60000000000002"/>
    <s v="Aug"/>
    <n v="2023"/>
    <s v="Fast"/>
    <s v="Normal"/>
    <s v="No"/>
  </r>
  <r>
    <s v="ORD0447"/>
    <d v="2024-06-02T00:00:00"/>
    <s v="CUST077"/>
    <s v="Ramesh Venkatesh"/>
    <x v="20"/>
    <s v="Tamil Nadu"/>
    <x v="3"/>
    <s v="Almonds 250g"/>
    <n v="4"/>
    <n v="280"/>
    <n v="5"/>
    <n v="1064"/>
    <x v="4"/>
    <s v="Returned"/>
    <n v="3"/>
    <n v="1120"/>
    <n v="56"/>
    <n v="212.8"/>
    <s v="Jun"/>
    <n v="2024"/>
    <s v="Fast"/>
    <s v="Normal"/>
    <s v="Yes"/>
  </r>
  <r>
    <s v="ORD0448"/>
    <d v="2023-12-19T00:00:00"/>
    <s v="CUST058"/>
    <s v="Ashok Chinnaswamy"/>
    <x v="2"/>
    <s v="Tamil Nadu"/>
    <x v="6"/>
    <s v="Dinner Set 24pcs"/>
    <n v="4"/>
    <n v="1800"/>
    <n v="0"/>
    <n v="7200"/>
    <x v="0"/>
    <s v="Delivered"/>
    <n v="3"/>
    <n v="7200"/>
    <n v="0"/>
    <n v="1440"/>
    <s v="Dec"/>
    <n v="2023"/>
    <s v="Fast"/>
    <s v="High Value"/>
    <s v="No"/>
  </r>
  <r>
    <s v="ORD0449"/>
    <d v="2024-04-18T00:00:00"/>
    <s v="CUST022"/>
    <s v="Senthil Balakrishnan"/>
    <x v="7"/>
    <s v="Tamil Nadu"/>
    <x v="4"/>
    <s v="Formal Trousers"/>
    <n v="3"/>
    <n v="1400"/>
    <n v="20"/>
    <n v="3360"/>
    <x v="4"/>
    <s v="Returned"/>
    <n v="5"/>
    <n v="4200"/>
    <n v="840"/>
    <n v="672"/>
    <s v="Apr"/>
    <n v="2024"/>
    <s v="Delayed"/>
    <s v="Normal"/>
    <s v="No"/>
  </r>
  <r>
    <s v="ORD0450"/>
    <d v="2023-05-13T00:00:00"/>
    <s v="CUST088"/>
    <s v="Gopal Ramasamy"/>
    <x v="5"/>
    <s v="Tamil Nadu"/>
    <x v="7"/>
    <s v="Highlighters Set"/>
    <n v="2"/>
    <n v="180"/>
    <n v="0"/>
    <n v="360"/>
    <x v="0"/>
    <s v="Cancelled"/>
    <n v="0"/>
    <n v="360"/>
    <n v="0"/>
    <n v="72"/>
    <s v="May"/>
    <n v="2023"/>
    <s v="Fast"/>
    <s v="Normal"/>
    <s v="Yes"/>
  </r>
  <r>
    <s v="ORD0451"/>
    <d v="2024-02-15T00:00:00"/>
    <s v="CUST048"/>
    <s v="Elavarasi Karuppasamy"/>
    <x v="21"/>
    <s v="Karnataka"/>
    <x v="1"/>
    <s v="Moisturizer 50g"/>
    <n v="4"/>
    <n v="380"/>
    <n v="5"/>
    <n v="1444"/>
    <x v="3"/>
    <s v="Cancelled"/>
    <n v="0"/>
    <n v="1520"/>
    <n v="76"/>
    <n v="288.8"/>
    <s v="Feb"/>
    <n v="2024"/>
    <s v="Fast"/>
    <s v="Normal"/>
    <s v="No"/>
  </r>
  <r>
    <s v="ORD0452"/>
    <d v="2023-07-03T00:00:00"/>
    <s v="CUST058"/>
    <s v="Ashok Chinnaswamy"/>
    <x v="2"/>
    <s v="Tamil Nadu"/>
    <x v="3"/>
    <s v="Instant Coffee 100g"/>
    <n v="2"/>
    <n v="220"/>
    <n v="5"/>
    <n v="418"/>
    <x v="2"/>
    <s v="Delivered"/>
    <n v="9"/>
    <n v="440"/>
    <n v="22"/>
    <n v="83.600000000000009"/>
    <s v="Jul"/>
    <n v="2023"/>
    <s v="Delayed"/>
    <s v="Normal"/>
    <s v="No"/>
  </r>
  <r>
    <s v="ORD0453"/>
    <d v="2023-01-31T00:00:00"/>
    <s v="CUST009"/>
    <s v="Anjali Gopal"/>
    <x v="5"/>
    <s v="Tamil Nadu"/>
    <x v="1"/>
    <s v="Body Lotion 400ml"/>
    <n v="4"/>
    <n v="260"/>
    <n v="15"/>
    <n v="884"/>
    <x v="5"/>
    <s v="Delivered"/>
    <n v="5"/>
    <n v="1040"/>
    <n v="156"/>
    <n v="176.8"/>
    <s v="Jan"/>
    <n v="2023"/>
    <s v="Delayed"/>
    <s v="Normal"/>
    <s v="No"/>
  </r>
  <r>
    <s v="ORD0454"/>
    <d v="2023-06-11T00:00:00"/>
    <s v="CUST075"/>
    <s v="Vasanth Velayutham"/>
    <x v="17"/>
    <s v="Kerala"/>
    <x v="5"/>
    <s v="Laptop"/>
    <n v="3"/>
    <n v="45000"/>
    <n v="5"/>
    <n v="128250"/>
    <x v="2"/>
    <s v="Delivered"/>
    <n v="4"/>
    <n v="135000"/>
    <n v="6750"/>
    <n v="25650"/>
    <s v="Jun"/>
    <n v="2023"/>
    <s v="Delayed"/>
    <s v="High Value"/>
    <s v="Yes"/>
  </r>
  <r>
    <s v="ORD0455"/>
    <d v="2023-02-08T00:00:00"/>
    <s v="CUST055"/>
    <s v="Aruna Iyer"/>
    <x v="16"/>
    <s v="Tamil Nadu"/>
    <x v="3"/>
    <s v="Toor Dal 1kg"/>
    <n v="1"/>
    <n v="130"/>
    <n v="10"/>
    <n v="117"/>
    <x v="2"/>
    <s v="Returned"/>
    <n v="5"/>
    <n v="130"/>
    <n v="13"/>
    <n v="23.400000000000002"/>
    <s v="Feb"/>
    <n v="2023"/>
    <s v="Delayed"/>
    <s v="Normal"/>
    <s v="No"/>
  </r>
  <r>
    <s v="ORD0456"/>
    <d v="2023-09-05T00:00:00"/>
    <s v="CUST033"/>
    <s v="Anita Pillai"/>
    <x v="2"/>
    <s v="Tamil Nadu"/>
    <x v="0"/>
    <s v="Cycling Helmet"/>
    <n v="1"/>
    <n v="1100"/>
    <n v="5"/>
    <n v="1045"/>
    <x v="4"/>
    <s v="Delivered"/>
    <n v="6"/>
    <n v="1100"/>
    <n v="55"/>
    <n v="209"/>
    <s v="Sep"/>
    <n v="2023"/>
    <s v="Delayed"/>
    <s v="Normal"/>
    <s v="No"/>
  </r>
  <r>
    <s v="ORD0457"/>
    <d v="2023-09-28T00:00:00"/>
    <s v="CUST028"/>
    <s v="Vanitha Krishnan"/>
    <x v="18"/>
    <s v="Tamil Nadu"/>
    <x v="2"/>
    <s v="Baby Walker"/>
    <n v="3"/>
    <n v="2200"/>
    <n v="0"/>
    <n v="6600"/>
    <x v="2"/>
    <s v="Delivered"/>
    <n v="9"/>
    <n v="6600"/>
    <n v="0"/>
    <n v="1320"/>
    <s v="Sep"/>
    <n v="2023"/>
    <s v="Delayed"/>
    <s v="High Value"/>
    <s v="No"/>
  </r>
  <r>
    <s v="ORD0458"/>
    <d v="2023-07-08T00:00:00"/>
    <s v="CUST090"/>
    <s v="Ramesh Sharma"/>
    <x v="18"/>
    <s v="Tamil Nadu"/>
    <x v="0"/>
    <s v="Skipping Rope"/>
    <n v="3"/>
    <n v="250"/>
    <n v="0"/>
    <n v="750"/>
    <x v="2"/>
    <s v="Delivered"/>
    <n v="6"/>
    <n v="750"/>
    <n v="0"/>
    <n v="150"/>
    <s v="Jul"/>
    <n v="2023"/>
    <s v="Delayed"/>
    <s v="Normal"/>
    <s v="Yes"/>
  </r>
  <r>
    <s v="ORD0459"/>
    <d v="2023-08-26T00:00:00"/>
    <s v="CUST015"/>
    <s v="Muthukumar Iyer"/>
    <x v="12"/>
    <s v="Tamil Nadu"/>
    <x v="4"/>
    <s v="Leggings"/>
    <n v="3"/>
    <n v="499"/>
    <n v="0"/>
    <n v="1497"/>
    <x v="1"/>
    <s v="Delivered"/>
    <n v="9"/>
    <n v="1497"/>
    <n v="0"/>
    <n v="299.40000000000003"/>
    <s v="Aug"/>
    <n v="2023"/>
    <s v="Delayed"/>
    <s v="Normal"/>
    <s v="Yes"/>
  </r>
  <r>
    <s v="ORD0460"/>
    <d v="2023-10-13T00:00:00"/>
    <s v="CUST079"/>
    <s v="Kumar Murugan"/>
    <x v="22"/>
    <s v="Tamil Nadu"/>
    <x v="4"/>
    <s v="Ethnic Saree"/>
    <n v="3"/>
    <n v="2800"/>
    <n v="5"/>
    <n v="7980"/>
    <x v="0"/>
    <s v="Delivered"/>
    <n v="7"/>
    <n v="8400"/>
    <n v="420"/>
    <n v="1596"/>
    <s v="Oct"/>
    <n v="2023"/>
    <s v="Delayed"/>
    <s v="High Value"/>
    <s v="No"/>
  </r>
  <r>
    <s v="ORD0461"/>
    <d v="2023-07-10T00:00:00"/>
    <s v="CUST017"/>
    <s v="Harish Balakrishnan"/>
    <x v="4"/>
    <s v="Telangana"/>
    <x v="2"/>
    <s v="Soft Toy Bear"/>
    <n v="3"/>
    <n v="350"/>
    <n v="15"/>
    <n v="892.5"/>
    <x v="3"/>
    <s v="Delivered"/>
    <n v="10"/>
    <n v="1050"/>
    <n v="157.5"/>
    <n v="178.5"/>
    <s v="Jul"/>
    <n v="2023"/>
    <s v="Delayed"/>
    <s v="Normal"/>
    <s v="No"/>
  </r>
  <r>
    <s v="ORD0462"/>
    <d v="2023-01-19T00:00:00"/>
    <s v="CUST007"/>
    <s v="Vijay Gopal"/>
    <x v="9"/>
    <s v="Tamil Nadu"/>
    <x v="2"/>
    <s v="Remote Control Car"/>
    <n v="1"/>
    <n v="1200"/>
    <n v="5"/>
    <n v="1140"/>
    <x v="4"/>
    <s v="Cancelled"/>
    <n v="0"/>
    <n v="1200"/>
    <n v="60"/>
    <n v="228"/>
    <s v="Jan"/>
    <n v="2023"/>
    <s v="Fast"/>
    <s v="Normal"/>
    <s v="No"/>
  </r>
  <r>
    <s v="ORD0463"/>
    <d v="2023-03-08T00:00:00"/>
    <s v="CUST088"/>
    <s v="Gopal Ramasamy"/>
    <x v="5"/>
    <s v="Tamil Nadu"/>
    <x v="0"/>
    <s v="Cricket Bat Kashmir Willow"/>
    <n v="2"/>
    <n v="1800"/>
    <n v="10"/>
    <n v="3240"/>
    <x v="5"/>
    <s v="Delivered"/>
    <n v="7"/>
    <n v="3600"/>
    <n v="360"/>
    <n v="648"/>
    <s v="Mar"/>
    <n v="2023"/>
    <s v="Delayed"/>
    <s v="Normal"/>
    <s v="No"/>
  </r>
  <r>
    <s v="ORD0464"/>
    <d v="2023-02-18T00:00:00"/>
    <s v="CUST057"/>
    <s v="Vimal Sharma"/>
    <x v="16"/>
    <s v="Tamil Nadu"/>
    <x v="5"/>
    <s v="Wireless Headphones"/>
    <n v="2"/>
    <n v="3500"/>
    <n v="10"/>
    <n v="6300"/>
    <x v="5"/>
    <s v="Cancelled"/>
    <n v="0"/>
    <n v="7000"/>
    <n v="700"/>
    <n v="1260"/>
    <s v="Feb"/>
    <n v="2023"/>
    <s v="Fast"/>
    <s v="High Value"/>
    <s v="Yes"/>
  </r>
  <r>
    <s v="ORD0465"/>
    <d v="2023-01-01T00:00:00"/>
    <s v="CUST001"/>
    <s v="Saranya Selvam"/>
    <x v="15"/>
    <s v="Tamil Nadu"/>
    <x v="3"/>
    <s v="Toor Dal 1kg"/>
    <n v="1"/>
    <n v="130"/>
    <n v="0"/>
    <n v="130"/>
    <x v="0"/>
    <s v="Delivered"/>
    <n v="4"/>
    <n v="130"/>
    <n v="0"/>
    <n v="26"/>
    <s v="Jan"/>
    <n v="2023"/>
    <s v="Delayed"/>
    <s v="Normal"/>
    <s v="Yes"/>
  </r>
  <r>
    <s v="ORD0466"/>
    <d v="2023-04-08T00:00:00"/>
    <s v="CUST093"/>
    <s v="Jayashree Narayanan"/>
    <x v="7"/>
    <s v="Tamil Nadu"/>
    <x v="1"/>
    <s v="Body Lotion 400ml"/>
    <n v="2"/>
    <n v="260"/>
    <n v="20"/>
    <n v="416"/>
    <x v="5"/>
    <s v="Cancelled"/>
    <n v="0"/>
    <n v="520"/>
    <n v="104"/>
    <n v="83.2"/>
    <s v="Apr"/>
    <n v="2023"/>
    <s v="Fast"/>
    <s v="Normal"/>
    <s v="Yes"/>
  </r>
  <r>
    <s v="ORD0467"/>
    <d v="2023-11-25T00:00:00"/>
    <s v="CUST077"/>
    <s v="Ramesh Venkatesh"/>
    <x v="20"/>
    <s v="Tamil Nadu"/>
    <x v="5"/>
    <s v="Webcam"/>
    <n v="1"/>
    <n v="2200"/>
    <n v="0"/>
    <n v="2200"/>
    <x v="2"/>
    <s v="Delivered"/>
    <n v="8"/>
    <n v="2200"/>
    <n v="0"/>
    <n v="440"/>
    <s v="Nov"/>
    <n v="2023"/>
    <s v="Delayed"/>
    <s v="Normal"/>
    <s v="Yes"/>
  </r>
  <r>
    <s v="ORD0468"/>
    <d v="2023-08-29T00:00:00"/>
    <s v="CUST043"/>
    <s v="Nithya Prabhu"/>
    <x v="14"/>
    <s v="Maharashtra"/>
    <x v="0"/>
    <s v="Badminton Racket"/>
    <n v="2"/>
    <n v="950"/>
    <n v="0"/>
    <n v="1900"/>
    <x v="3"/>
    <s v="Delivered"/>
    <n v="4"/>
    <n v="1900"/>
    <n v="0"/>
    <n v="380"/>
    <s v="Aug"/>
    <n v="2023"/>
    <s v="Delayed"/>
    <s v="Normal"/>
    <s v="No"/>
  </r>
  <r>
    <s v="ORD0469"/>
    <d v="2023-09-29T00:00:00"/>
    <s v="CUST053"/>
    <s v="Gayatri Chandran"/>
    <x v="6"/>
    <s v="Delhi"/>
    <x v="6"/>
    <s v="Chopping Board"/>
    <n v="3"/>
    <n v="280"/>
    <n v="10"/>
    <n v="756"/>
    <x v="1"/>
    <s v="Delivered"/>
    <n v="10"/>
    <n v="840"/>
    <n v="84"/>
    <n v="151.20000000000002"/>
    <s v="Sep"/>
    <n v="2023"/>
    <s v="Delayed"/>
    <s v="Normal"/>
    <s v="No"/>
  </r>
  <r>
    <s v="ORD0470"/>
    <d v="2023-11-08T00:00:00"/>
    <s v="CUST003"/>
    <s v="Muthukumar Mani"/>
    <x v="5"/>
    <s v="Tamil Nadu"/>
    <x v="6"/>
    <s v="Induction Cooktop"/>
    <n v="2"/>
    <n v="2200"/>
    <n v="10"/>
    <n v="3960"/>
    <x v="2"/>
    <s v="Returned"/>
    <n v="1"/>
    <n v="4400"/>
    <n v="440"/>
    <n v="792"/>
    <s v="Nov"/>
    <n v="2023"/>
    <s v="Fast"/>
    <s v="Normal"/>
    <s v="No"/>
  </r>
  <r>
    <s v="ORD0471"/>
    <d v="2023-07-24T00:00:00"/>
    <s v="CUST011"/>
    <s v="Yogesh Krishnan"/>
    <x v="17"/>
    <s v="Kerala"/>
    <x v="6"/>
    <s v="Water Purifier RO"/>
    <n v="1"/>
    <n v="9500"/>
    <n v="0"/>
    <n v="9500"/>
    <x v="1"/>
    <s v="Pending"/>
    <n v="5"/>
    <n v="9500"/>
    <n v="0"/>
    <n v="1900"/>
    <s v="Jul"/>
    <n v="2023"/>
    <s v="Delayed"/>
    <s v="High Value"/>
    <s v="No"/>
  </r>
  <r>
    <s v="ORD0472"/>
    <d v="2023-06-03T00:00:00"/>
    <s v="CUST097"/>
    <s v="Aarav Ramasamy"/>
    <x v="3"/>
    <s v="Tamil Nadu"/>
    <x v="7"/>
    <s v="A4 Notebooks Pack5"/>
    <n v="1"/>
    <n v="220"/>
    <n v="0"/>
    <n v="220"/>
    <x v="2"/>
    <s v="Delivered"/>
    <n v="9"/>
    <n v="220"/>
    <n v="0"/>
    <n v="44"/>
    <s v="Jun"/>
    <n v="2023"/>
    <s v="Delayed"/>
    <s v="Normal"/>
    <s v="Yes"/>
  </r>
  <r>
    <s v="ORD0473"/>
    <d v="2023-11-13T00:00:00"/>
    <s v="CUST030"/>
    <s v="Kalpana Velayutham"/>
    <x v="2"/>
    <s v="Tamil Nadu"/>
    <x v="1"/>
    <s v="Hair Oil 200ml"/>
    <n v="2"/>
    <n v="140"/>
    <n v="10"/>
    <n v="252"/>
    <x v="2"/>
    <s v="Returned"/>
    <n v="1"/>
    <n v="280"/>
    <n v="28"/>
    <n v="50.400000000000006"/>
    <s v="Nov"/>
    <n v="2023"/>
    <s v="Fast"/>
    <s v="Normal"/>
    <s v="No"/>
  </r>
  <r>
    <s v="ORD0474"/>
    <d v="2023-01-19T00:00:00"/>
    <s v="CUST035"/>
    <s v="Kalpana Chandran"/>
    <x v="23"/>
    <s v="Tamil Nadu"/>
    <x v="1"/>
    <s v="Sunscreen SPF50"/>
    <n v="1"/>
    <n v="320"/>
    <n v="5"/>
    <n v="304"/>
    <x v="4"/>
    <s v="Returned"/>
    <n v="4"/>
    <n v="320"/>
    <n v="16"/>
    <n v="60.800000000000004"/>
    <s v="Jan"/>
    <n v="2023"/>
    <s v="Delayed"/>
    <s v="Normal"/>
    <s v="No"/>
  </r>
  <r>
    <s v="ORD0475"/>
    <d v="2023-02-11T00:00:00"/>
    <s v="CUST037"/>
    <s v="Manoj Chandran"/>
    <x v="5"/>
    <s v="Tamil Nadu"/>
    <x v="3"/>
    <s v="Sugar 1kg"/>
    <n v="1"/>
    <n v="55"/>
    <n v="20"/>
    <n v="44"/>
    <x v="5"/>
    <s v="Returned"/>
    <n v="3"/>
    <n v="55"/>
    <n v="11"/>
    <n v="8.8000000000000007"/>
    <s v="Feb"/>
    <n v="2023"/>
    <s v="Fast"/>
    <s v="Normal"/>
    <s v="Yes"/>
  </r>
  <r>
    <s v="ORD0476"/>
    <d v="2023-12-19T00:00:00"/>
    <s v="CUST064"/>
    <s v="Gopal Palanisamy"/>
    <x v="12"/>
    <s v="Tamil Nadu"/>
    <x v="0"/>
    <s v="Dumbbell Pair 5kg"/>
    <n v="1"/>
    <n v="1200"/>
    <n v="20"/>
    <n v="960"/>
    <x v="3"/>
    <s v="Returned"/>
    <n v="5"/>
    <n v="1200"/>
    <n v="240"/>
    <n v="192"/>
    <s v="Dec"/>
    <n v="2023"/>
    <s v="Delayed"/>
    <s v="Normal"/>
    <s v="No"/>
  </r>
  <r>
    <s v="ORD0477"/>
    <d v="2024-04-15T00:00:00"/>
    <s v="CUST039"/>
    <s v="Sivakami Perumal"/>
    <x v="0"/>
    <s v="Tamil Nadu"/>
    <x v="1"/>
    <s v="Shampoo 400ml"/>
    <n v="2"/>
    <n v="220"/>
    <n v="15"/>
    <n v="374"/>
    <x v="0"/>
    <s v="Delivered"/>
    <n v="4"/>
    <n v="440"/>
    <n v="66"/>
    <n v="74.8"/>
    <s v="Apr"/>
    <n v="2024"/>
    <s v="Delayed"/>
    <s v="Normal"/>
    <s v="No"/>
  </r>
  <r>
    <s v="ORD0478"/>
    <d v="2023-09-19T00:00:00"/>
    <s v="CUST051"/>
    <s v="Bhavana Gopal"/>
    <x v="1"/>
    <s v="Tamil Nadu"/>
    <x v="5"/>
    <s v="Bluetooth Speaker"/>
    <n v="1"/>
    <n v="2500"/>
    <n v="10"/>
    <n v="2250"/>
    <x v="5"/>
    <s v="Delivered"/>
    <n v="6"/>
    <n v="2500"/>
    <n v="250"/>
    <n v="450"/>
    <s v="Sep"/>
    <n v="2023"/>
    <s v="Delayed"/>
    <s v="Normal"/>
    <s v="No"/>
  </r>
  <r>
    <s v="ORD0479"/>
    <d v="2023-03-23T00:00:00"/>
    <s v="CUST095"/>
    <s v="Vanitha Natarajan"/>
    <x v="4"/>
    <s v="Telangana"/>
    <x v="5"/>
    <s v="Smart Watch"/>
    <n v="4"/>
    <n v="8000"/>
    <n v="10"/>
    <n v="28800"/>
    <x v="2"/>
    <s v="Delivered"/>
    <n v="1"/>
    <n v="32000"/>
    <n v="3200"/>
    <n v="5760"/>
    <s v="Mar"/>
    <n v="2023"/>
    <s v="Fast"/>
    <s v="High Value"/>
    <s v="No"/>
  </r>
  <r>
    <s v="ORD0480"/>
    <d v="2024-02-06T00:00:00"/>
    <s v="CUST084"/>
    <s v="Pooja Velayutham"/>
    <x v="4"/>
    <s v="Telangana"/>
    <x v="3"/>
    <s v="Basmati Rice 5kg"/>
    <n v="1"/>
    <n v="320"/>
    <n v="15"/>
    <n v="272"/>
    <x v="5"/>
    <s v="Delivered"/>
    <n v="6"/>
    <n v="320"/>
    <n v="48"/>
    <n v="54.400000000000006"/>
    <s v="Feb"/>
    <n v="2024"/>
    <s v="Delayed"/>
    <s v="Normal"/>
    <s v="No"/>
  </r>
  <r>
    <s v="ORD0481"/>
    <d v="2023-06-28T00:00:00"/>
    <s v="CUST028"/>
    <s v="Vanitha Krishnan"/>
    <x v="18"/>
    <s v="Tamil Nadu"/>
    <x v="1"/>
    <s v="Face Wash 100ml"/>
    <n v="3"/>
    <n v="180"/>
    <n v="10"/>
    <n v="486"/>
    <x v="5"/>
    <s v="Pending"/>
    <n v="1"/>
    <n v="540"/>
    <n v="54"/>
    <n v="97.2"/>
    <s v="Jun"/>
    <n v="2023"/>
    <s v="Fast"/>
    <s v="Normal"/>
    <s v="No"/>
  </r>
  <r>
    <s v="ORD0482"/>
    <d v="2023-11-03T00:00:00"/>
    <s v="CUST010"/>
    <s v="Quamar Velayutham"/>
    <x v="5"/>
    <s v="Tamil Nadu"/>
    <x v="2"/>
    <s v="Play-Doh Set"/>
    <n v="4"/>
    <n v="280"/>
    <n v="5"/>
    <n v="1064"/>
    <x v="4"/>
    <s v="Cancelled"/>
    <n v="0"/>
    <n v="1120"/>
    <n v="56"/>
    <n v="212.8"/>
    <s v="Nov"/>
    <n v="2023"/>
    <s v="Fast"/>
    <s v="Normal"/>
    <s v="No"/>
  </r>
  <r>
    <s v="ORD0483"/>
    <d v="2023-08-04T00:00:00"/>
    <s v="CUST064"/>
    <s v="Gopal Palanisamy"/>
    <x v="12"/>
    <s v="Tamil Nadu"/>
    <x v="0"/>
    <s v="Yoga Mat 6mm"/>
    <n v="1"/>
    <n v="650"/>
    <n v="20"/>
    <n v="520"/>
    <x v="3"/>
    <s v="Delivered"/>
    <n v="3"/>
    <n v="650"/>
    <n v="130"/>
    <n v="104"/>
    <s v="Aug"/>
    <n v="2023"/>
    <s v="Fast"/>
    <s v="Normal"/>
    <s v="No"/>
  </r>
  <r>
    <s v="ORD0484"/>
    <d v="2023-02-28T00:00:00"/>
    <s v="CUST004"/>
    <s v="Rubesh Prabhu"/>
    <x v="17"/>
    <s v="Kerala"/>
    <x v="0"/>
    <s v="Sports Shoes"/>
    <n v="1"/>
    <n v="2800"/>
    <n v="5"/>
    <n v="2660"/>
    <x v="0"/>
    <s v="Delivered"/>
    <n v="5"/>
    <n v="2800"/>
    <n v="140"/>
    <n v="532"/>
    <s v="Feb"/>
    <n v="2023"/>
    <s v="Delayed"/>
    <s v="Normal"/>
    <s v="No"/>
  </r>
  <r>
    <s v="ORD0485"/>
    <d v="2023-12-28T00:00:00"/>
    <s v="CUST007"/>
    <s v="Vijay Gopal"/>
    <x v="9"/>
    <s v="Tamil Nadu"/>
    <x v="5"/>
    <s v="USB Hub"/>
    <n v="3"/>
    <n v="900"/>
    <n v="0"/>
    <n v="2700"/>
    <x v="5"/>
    <s v="Delivered"/>
    <n v="7"/>
    <n v="2700"/>
    <n v="0"/>
    <n v="540"/>
    <s v="Dec"/>
    <n v="2023"/>
    <s v="Delayed"/>
    <s v="Normal"/>
    <s v="No"/>
  </r>
  <r>
    <s v="ORD0486"/>
    <d v="2024-06-08T00:00:00"/>
    <s v="CUST055"/>
    <s v="Aruna Iyer"/>
    <x v="16"/>
    <s v="Tamil Nadu"/>
    <x v="7"/>
    <s v="Sticky Notes 400pcs"/>
    <n v="4"/>
    <n v="120"/>
    <n v="0"/>
    <n v="480"/>
    <x v="2"/>
    <s v="Cancelled"/>
    <n v="0"/>
    <n v="480"/>
    <n v="0"/>
    <n v="96"/>
    <s v="Jun"/>
    <n v="2024"/>
    <s v="Fast"/>
    <s v="Normal"/>
    <s v="Yes"/>
  </r>
  <r>
    <s v="ORD0487"/>
    <d v="2023-05-05T00:00:00"/>
    <s v="CUST095"/>
    <s v="Vanitha Natarajan"/>
    <x v="4"/>
    <s v="Telangana"/>
    <x v="7"/>
    <s v="SQL Mastery"/>
    <n v="4"/>
    <n v="380"/>
    <n v="0"/>
    <n v="1520"/>
    <x v="5"/>
    <s v="Delivered"/>
    <n v="2"/>
    <n v="1520"/>
    <n v="0"/>
    <n v="304"/>
    <s v="May"/>
    <n v="2023"/>
    <s v="Fast"/>
    <s v="Normal"/>
    <s v="No"/>
  </r>
  <r>
    <s v="ORD0488"/>
    <d v="2023-07-25T00:00:00"/>
    <s v="CUST013"/>
    <s v="Shalini Ramachandran"/>
    <x v="1"/>
    <s v="Tamil Nadu"/>
    <x v="1"/>
    <s v="Hair Oil 200ml"/>
    <n v="4"/>
    <n v="140"/>
    <n v="10"/>
    <n v="504"/>
    <x v="1"/>
    <s v="Delivered"/>
    <n v="9"/>
    <n v="560"/>
    <n v="56"/>
    <n v="100.80000000000001"/>
    <s v="Jul"/>
    <n v="2023"/>
    <s v="Delayed"/>
    <s v="Normal"/>
    <s v="No"/>
  </r>
  <r>
    <s v="ORD0489"/>
    <d v="2023-05-08T00:00:00"/>
    <s v="CUST062"/>
    <s v="Vinoth Gopal"/>
    <x v="7"/>
    <s v="Tamil Nadu"/>
    <x v="3"/>
    <s v="Whole Wheat Atta 10kg"/>
    <n v="1"/>
    <n v="450"/>
    <n v="10"/>
    <n v="405"/>
    <x v="0"/>
    <s v="Returned"/>
    <n v="2"/>
    <n v="450"/>
    <n v="45"/>
    <n v="81"/>
    <s v="May"/>
    <n v="2023"/>
    <s v="Fast"/>
    <s v="Normal"/>
    <s v="No"/>
  </r>
  <r>
    <s v="ORD0490"/>
    <d v="2023-12-19T00:00:00"/>
    <s v="CUST045"/>
    <s v="Harish Thangavel"/>
    <x v="2"/>
    <s v="Tamil Nadu"/>
    <x v="0"/>
    <s v="Resistance Bands Set"/>
    <n v="1"/>
    <n v="450"/>
    <n v="5"/>
    <n v="427.5"/>
    <x v="3"/>
    <s v="Delivered"/>
    <n v="7"/>
    <n v="450"/>
    <n v="22.5"/>
    <n v="85.5"/>
    <s v="Dec"/>
    <n v="2023"/>
    <s v="Delayed"/>
    <s v="Normal"/>
    <s v="No"/>
  </r>
  <r>
    <s v="ORD0491"/>
    <d v="2023-08-30T00:00:00"/>
    <s v="CUST027"/>
    <s v="Harish Ganesan"/>
    <x v="6"/>
    <s v="Delhi"/>
    <x v="3"/>
    <s v="Sunflower Oil 1L"/>
    <n v="1"/>
    <n v="160"/>
    <n v="10"/>
    <n v="144"/>
    <x v="2"/>
    <s v="Pending"/>
    <n v="1"/>
    <n v="160"/>
    <n v="16"/>
    <n v="28.8"/>
    <s v="Aug"/>
    <n v="2023"/>
    <s v="Fast"/>
    <s v="Normal"/>
    <s v="No"/>
  </r>
  <r>
    <s v="ORD0492"/>
    <d v="2023-09-10T00:00:00"/>
    <s v="CUST047"/>
    <s v="Ponmani Raj"/>
    <x v="7"/>
    <s v="Tamil Nadu"/>
    <x v="7"/>
    <s v="Leadership Mindset"/>
    <n v="2"/>
    <n v="350"/>
    <n v="0"/>
    <n v="700"/>
    <x v="2"/>
    <s v="Delivered"/>
    <n v="6"/>
    <n v="700"/>
    <n v="0"/>
    <n v="140"/>
    <s v="Sep"/>
    <n v="2023"/>
    <s v="Delayed"/>
    <s v="Normal"/>
    <s v="Yes"/>
  </r>
  <r>
    <s v="ORD0493"/>
    <d v="2023-10-27T00:00:00"/>
    <s v="CUST081"/>
    <s v="Anita Iyer"/>
    <x v="2"/>
    <s v="Tamil Nadu"/>
    <x v="6"/>
    <s v="Knife Set"/>
    <n v="4"/>
    <n v="650"/>
    <n v="15"/>
    <n v="2210"/>
    <x v="0"/>
    <s v="Cancelled"/>
    <n v="0"/>
    <n v="2600"/>
    <n v="390"/>
    <n v="442"/>
    <s v="Oct"/>
    <n v="2023"/>
    <s v="Fast"/>
    <s v="Normal"/>
    <s v="No"/>
  </r>
  <r>
    <s v="ORD0494"/>
    <d v="2023-08-11T00:00:00"/>
    <s v="CUST060"/>
    <s v="Balaji Natarajan"/>
    <x v="20"/>
    <s v="Tamil Nadu"/>
    <x v="2"/>
    <s v="LEGO Classic Set"/>
    <n v="2"/>
    <n v="1800"/>
    <n v="5"/>
    <n v="3420"/>
    <x v="2"/>
    <s v="Delivered"/>
    <n v="5"/>
    <n v="3600"/>
    <n v="180"/>
    <n v="684"/>
    <s v="Aug"/>
    <n v="2023"/>
    <s v="Delayed"/>
    <s v="Normal"/>
    <s v="No"/>
  </r>
  <r>
    <s v="ORD0495"/>
    <d v="2023-03-23T00:00:00"/>
    <s v="CUST036"/>
    <s v="Kavitha Nair"/>
    <x v="8"/>
    <s v="Tamil Nadu"/>
    <x v="1"/>
    <s v="Perfume 100ml"/>
    <n v="1"/>
    <n v="1200"/>
    <n v="0"/>
    <n v="1200"/>
    <x v="5"/>
    <s v="Cancelled"/>
    <n v="0"/>
    <n v="1200"/>
    <n v="0"/>
    <n v="240"/>
    <s v="Mar"/>
    <n v="2023"/>
    <s v="Fast"/>
    <s v="Normal"/>
    <s v="No"/>
  </r>
  <r>
    <s v="ORD0496"/>
    <d v="2023-12-29T00:00:00"/>
    <s v="CUST067"/>
    <s v="Usha Srinivasan"/>
    <x v="4"/>
    <s v="Telangana"/>
    <x v="2"/>
    <s v="Baby Walker"/>
    <n v="3"/>
    <n v="2200"/>
    <n v="20"/>
    <n v="5280"/>
    <x v="5"/>
    <s v="Delivered"/>
    <n v="7"/>
    <n v="6600"/>
    <n v="1320"/>
    <n v="1056"/>
    <s v="Dec"/>
    <n v="2023"/>
    <s v="Delayed"/>
    <s v="High Value"/>
    <s v="No"/>
  </r>
  <r>
    <s v="ORD0497"/>
    <d v="2023-10-04T00:00:00"/>
    <s v="CUST019"/>
    <s v="Jayashree Mani"/>
    <x v="22"/>
    <s v="Tamil Nadu"/>
    <x v="6"/>
    <s v="Non-Stick Pan"/>
    <n v="3"/>
    <n v="850"/>
    <n v="15"/>
    <n v="2167.5"/>
    <x v="0"/>
    <s v="Delivered"/>
    <n v="7"/>
    <n v="2550"/>
    <n v="382.5"/>
    <n v="433.5"/>
    <s v="Oct"/>
    <n v="2023"/>
    <s v="Delayed"/>
    <s v="Normal"/>
    <s v="No"/>
  </r>
  <r>
    <s v="ORD0498"/>
    <d v="2023-02-18T00:00:00"/>
    <s v="CUST033"/>
    <s v="Anita Pillai"/>
    <x v="2"/>
    <s v="Tamil Nadu"/>
    <x v="4"/>
    <s v="Denim Jeans"/>
    <n v="1"/>
    <n v="1600"/>
    <n v="20"/>
    <n v="1280"/>
    <x v="0"/>
    <s v="Delivered"/>
    <n v="9"/>
    <n v="1600"/>
    <n v="320"/>
    <n v="256"/>
    <s v="Feb"/>
    <n v="2023"/>
    <s v="Delayed"/>
    <s v="Normal"/>
    <s v="Yes"/>
  </r>
  <r>
    <s v="ORD0499"/>
    <d v="2023-09-18T00:00:00"/>
    <s v="CUST014"/>
    <s v="Rajesh Velayutham"/>
    <x v="3"/>
    <s v="Tamil Nadu"/>
    <x v="6"/>
    <s v="Pressure Cooker 5L"/>
    <n v="2"/>
    <n v="1500"/>
    <n v="0"/>
    <n v="3000"/>
    <x v="3"/>
    <s v="Pending"/>
    <n v="5"/>
    <n v="3000"/>
    <n v="0"/>
    <n v="600"/>
    <s v="Sep"/>
    <n v="2023"/>
    <s v="Delayed"/>
    <s v="Normal"/>
    <s v="No"/>
  </r>
  <r>
    <s v="ORD0500"/>
    <d v="2024-03-07T00:00:00"/>
    <s v="CUST074"/>
    <s v="Bharathi Raj"/>
    <x v="8"/>
    <s v="Tamil Nadu"/>
    <x v="7"/>
    <s v="Highlighters Set"/>
    <n v="1"/>
    <n v="180"/>
    <n v="15"/>
    <n v="153"/>
    <x v="5"/>
    <s v="Cancelled"/>
    <n v="0"/>
    <n v="180"/>
    <n v="27"/>
    <n v="30.6"/>
    <s v="Mar"/>
    <n v="2024"/>
    <s v="Fast"/>
    <s v="Normal"/>
    <s v="No"/>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UST001"/>
    <s v="Saranya Selvam"/>
    <x v="0"/>
    <s v="Female"/>
    <s v="Kumbakonam"/>
    <s v="Tamil Nadu"/>
    <s v="saranya89@gmail.com"/>
    <s v="9816021276"/>
    <d v="2022-04-12T00:00:00"/>
    <s v="Bronze"/>
    <n v="3"/>
    <n v="3530"/>
    <x v="0"/>
    <n v="1176.6666666666667"/>
    <x v="0"/>
    <n v="49"/>
    <s v="Medium Spender"/>
    <s v="Less active"/>
  </r>
  <r>
    <s v="CUST002"/>
    <s v="Tamilarasi Annamalai"/>
    <x v="1"/>
    <s v="Male"/>
    <s v="Vellore"/>
    <s v="Tamil Nadu"/>
    <s v="tamilarasi32@gmail.com"/>
    <s v="9844599878"/>
    <d v="2022-11-08T00:00:00"/>
    <s v="Silver"/>
    <n v="3"/>
    <n v="3930"/>
    <x v="0"/>
    <n v="1310"/>
    <x v="0"/>
    <n v="43"/>
    <s v="Medium Spender"/>
    <s v="Less active"/>
  </r>
  <r>
    <s v="CUST003"/>
    <s v="Muthukumar Mani"/>
    <x v="1"/>
    <s v="Male"/>
    <s v="Sivakasi"/>
    <s v="Tamil Nadu"/>
    <s v="muthukumar99@gmail.com"/>
    <s v="9847328948"/>
    <d v="2022-08-11T00:00:00"/>
    <s v="Platinum"/>
    <n v="6"/>
    <n v="10899.5"/>
    <x v="0"/>
    <n v="1816.5833333333333"/>
    <x v="1"/>
    <n v="45"/>
    <s v="Medium Spender"/>
    <s v="Less active"/>
  </r>
  <r>
    <s v="CUST004"/>
    <s v="Rubesh Prabhu"/>
    <x v="2"/>
    <s v="Female"/>
    <s v="Kochi"/>
    <s v="Kerala"/>
    <s v="rubesh33@gmail.com"/>
    <s v="9561250709"/>
    <d v="2022-06-30T00:00:00"/>
    <s v="Bronze"/>
    <n v="9"/>
    <n v="40528.5"/>
    <x v="1"/>
    <n v="4503.166666666667"/>
    <x v="1"/>
    <n v="47"/>
    <s v="High Spender"/>
    <s v="Less active"/>
  </r>
  <r>
    <s v="CUST005"/>
    <s v="Krishnan Duraisamy"/>
    <x v="3"/>
    <s v="Male"/>
    <s v="Karur"/>
    <s v="Tamil Nadu"/>
    <s v="krishnan53@gmail.com"/>
    <s v="9398853830"/>
    <d v="2022-08-26T00:00:00"/>
    <s v="Silver"/>
    <n v="4"/>
    <n v="3570.5"/>
    <x v="1"/>
    <n v="892.625"/>
    <x v="0"/>
    <n v="45"/>
    <s v="Medium Spender"/>
    <s v="Less active"/>
  </r>
  <r>
    <s v="CUST006"/>
    <s v="Rajesh Murugesan"/>
    <x v="4"/>
    <s v="Male"/>
    <s v="Kumbakonam"/>
    <s v="Tamil Nadu"/>
    <s v="rajesh84@gmail.com"/>
    <s v="9149270965"/>
    <d v="2022-03-13T00:00:00"/>
    <s v="Gold"/>
    <n v="3"/>
    <n v="4170"/>
    <x v="0"/>
    <n v="1390"/>
    <x v="0"/>
    <n v="50"/>
    <s v="Medium Spender"/>
    <s v="Less active"/>
  </r>
  <r>
    <s v="CUST007"/>
    <s v="Vijay Gopal"/>
    <x v="5"/>
    <s v="Male"/>
    <s v="Dindigul"/>
    <s v="Tamil Nadu"/>
    <s v="vijay44@gmail.com"/>
    <s v="9447681279"/>
    <d v="2022-11-14T00:00:00"/>
    <s v="Silver"/>
    <n v="9"/>
    <n v="45005"/>
    <x v="2"/>
    <n v="5000.5555555555557"/>
    <x v="1"/>
    <n v="42"/>
    <s v="High Spender"/>
    <s v="Less active"/>
  </r>
  <r>
    <s v="CUST008"/>
    <s v="Sridhar Venkatesh"/>
    <x v="6"/>
    <s v="Male"/>
    <s v="Pune"/>
    <s v="Maharashtra"/>
    <s v="sridhar88@gmail.com"/>
    <s v="9721765763"/>
    <d v="2022-11-02T00:00:00"/>
    <s v="Platinum"/>
    <n v="5"/>
    <n v="5599"/>
    <x v="0"/>
    <n v="1119.8"/>
    <x v="0"/>
    <n v="43"/>
    <s v="Medium Spender"/>
    <s v="Less active"/>
  </r>
  <r>
    <s v="CUST009"/>
    <s v="Anjali Gopal"/>
    <x v="3"/>
    <s v="Female"/>
    <s v="Sivakasi"/>
    <s v="Tamil Nadu"/>
    <s v="anjali44@gmail.com"/>
    <s v="9896207903"/>
    <d v="2022-01-07T00:00:00"/>
    <s v="Gold"/>
    <n v="3"/>
    <n v="37634"/>
    <x v="1"/>
    <n v="12544.666666666666"/>
    <x v="1"/>
    <n v="53"/>
    <s v="High Spender"/>
    <s v="Less active"/>
  </r>
  <r>
    <s v="CUST010"/>
    <s v="Quamar Velayutham"/>
    <x v="0"/>
    <s v="Female"/>
    <s v="Sivakasi"/>
    <s v="Tamil Nadu"/>
    <s v="quamar61@gmail.com"/>
    <s v="9499907187"/>
    <d v="2022-03-09T00:00:00"/>
    <s v="Silver"/>
    <n v="5"/>
    <n v="7120"/>
    <x v="0"/>
    <n v="1424"/>
    <x v="0"/>
    <n v="51"/>
    <s v="Medium Spender"/>
    <s v="Less active"/>
  </r>
  <r>
    <s v="CUST011"/>
    <s v="Yogesh Krishnan"/>
    <x v="7"/>
    <s v="Male"/>
    <s v="Kochi"/>
    <s v="Kerala"/>
    <s v="yogesh77@gmail.com"/>
    <s v="9184191052"/>
    <d v="2022-04-03T00:00:00"/>
    <s v="Silver"/>
    <n v="4"/>
    <n v="14670"/>
    <x v="2"/>
    <n v="3667.5"/>
    <x v="1"/>
    <n v="50"/>
    <s v="Medium Spender"/>
    <s v="Less active"/>
  </r>
  <r>
    <s v="CUST012"/>
    <s v="Jayashree Mani"/>
    <x v="8"/>
    <s v="Female"/>
    <s v="Coimbatore"/>
    <s v="Tamil Nadu"/>
    <s v="jayashree49@gmail.com"/>
    <s v="9534085831"/>
    <d v="2022-01-22T00:00:00"/>
    <s v="Silver"/>
    <n v="5"/>
    <n v="20979.5"/>
    <x v="1"/>
    <n v="4195.8999999999996"/>
    <x v="1"/>
    <n v="52"/>
    <s v="High Spender"/>
    <s v="Less active"/>
  </r>
  <r>
    <s v="CUST013"/>
    <s v="Shalini Ramachandran"/>
    <x v="9"/>
    <s v="Female"/>
    <s v="Hosur"/>
    <s v="Tamil Nadu"/>
    <s v="shalini43@gmail.com"/>
    <s v="9886313897"/>
    <d v="2022-03-28T00:00:00"/>
    <s v="Silver"/>
    <n v="7"/>
    <n v="19241"/>
    <x v="0"/>
    <n v="2748.7142857142858"/>
    <x v="1"/>
    <n v="50"/>
    <s v="High Spender"/>
    <s v="Less active"/>
  </r>
  <r>
    <s v="CUST014"/>
    <s v="Rajesh Velayutham"/>
    <x v="10"/>
    <s v="Male"/>
    <s v="Trichy"/>
    <s v="Tamil Nadu"/>
    <s v="rajesh39@gmail.com"/>
    <s v="9610205006"/>
    <d v="2022-03-08T00:00:00"/>
    <s v="Platinum"/>
    <n v="8"/>
    <n v="185092.6"/>
    <x v="1"/>
    <n v="23136.575000000001"/>
    <x v="1"/>
    <n v="51"/>
    <s v="High Spender"/>
    <s v="Less active"/>
  </r>
  <r>
    <s v="CUST015"/>
    <s v="Muthukumar Iyer"/>
    <x v="11"/>
    <s v="Male"/>
    <s v="Thanjavur"/>
    <s v="Tamil Nadu"/>
    <s v="muthukumar13@gmail.com"/>
    <s v="9432652443"/>
    <d v="2022-10-22T00:00:00"/>
    <s v="Silver"/>
    <n v="7"/>
    <n v="17515"/>
    <x v="1"/>
    <n v="2502.1428571428573"/>
    <x v="1"/>
    <n v="43"/>
    <s v="High Spender"/>
    <s v="Less active"/>
  </r>
  <r>
    <s v="CUST016"/>
    <s v="Prasad Venkatesh"/>
    <x v="12"/>
    <s v="Male"/>
    <s v="Karur"/>
    <s v="Tamil Nadu"/>
    <s v="prasad85@gmail.com"/>
    <s v="9856676307"/>
    <d v="2022-08-17T00:00:00"/>
    <s v="Gold"/>
    <n v="3"/>
    <n v="6575"/>
    <x v="0"/>
    <n v="2191.6666666666665"/>
    <x v="0"/>
    <n v="45"/>
    <s v="Medium Spender"/>
    <s v="Less active"/>
  </r>
  <r>
    <s v="CUST017"/>
    <s v="Harish Balakrishnan"/>
    <x v="13"/>
    <s v="Male"/>
    <s v="Hyderabad"/>
    <s v="Telangana"/>
    <s v="harish80@gmail.com"/>
    <s v="9329673881"/>
    <d v="2022-07-17T00:00:00"/>
    <s v="Gold"/>
    <n v="6"/>
    <n v="28372.5"/>
    <x v="1"/>
    <n v="4728.75"/>
    <x v="1"/>
    <n v="46"/>
    <s v="High Spender"/>
    <s v="Less active"/>
  </r>
  <r>
    <s v="CUST018"/>
    <s v="Rajesh Balakrishnan"/>
    <x v="14"/>
    <s v="Male"/>
    <s v="Nagercoil"/>
    <s v="Tamil Nadu"/>
    <s v="rajesh68@gmail.com"/>
    <s v="9127894993"/>
    <d v="2022-04-28T00:00:00"/>
    <s v="Silver"/>
    <n v="3"/>
    <n v="3384"/>
    <x v="0"/>
    <n v="1128"/>
    <x v="0"/>
    <n v="49"/>
    <s v="Medium Spender"/>
    <s v="Less active"/>
  </r>
  <r>
    <s v="CUST019"/>
    <s v="Jayashree Mani"/>
    <x v="15"/>
    <s v="Female"/>
    <s v="Erode"/>
    <s v="Tamil Nadu"/>
    <s v="jayashree46@gmail.com"/>
    <s v="9661401163"/>
    <d v="2022-06-08T00:00:00"/>
    <s v="Gold"/>
    <n v="3"/>
    <n v="182797.5"/>
    <x v="0"/>
    <n v="60932.5"/>
    <x v="1"/>
    <n v="48"/>
    <s v="High Spender"/>
    <s v="Less active"/>
  </r>
  <r>
    <s v="CUST020"/>
    <s v="Indira Raj"/>
    <x v="16"/>
    <s v="Male"/>
    <s v="Kumbakonam"/>
    <s v="Tamil Nadu"/>
    <s v="indira26@gmail.com"/>
    <s v="9411618079"/>
    <d v="2022-03-23T00:00:00"/>
    <s v="Silver"/>
    <n v="9"/>
    <n v="21310.25"/>
    <x v="0"/>
    <n v="2367.8055555555557"/>
    <x v="1"/>
    <n v="50"/>
    <s v="High Spender"/>
    <s v="Less active"/>
  </r>
  <r>
    <s v="CUST021"/>
    <s v="Karthik Sharma"/>
    <x v="16"/>
    <s v="Female"/>
    <s v="Tiruppur"/>
    <s v="Tamil Nadu"/>
    <s v="karthik38@gmail.com"/>
    <s v="9735077503"/>
    <d v="2022-04-30T00:00:00"/>
    <s v="Silver"/>
    <n v="3"/>
    <n v="31344"/>
    <x v="0"/>
    <n v="10448"/>
    <x v="1"/>
    <n v="49"/>
    <s v="High Spender"/>
    <s v="Less active"/>
  </r>
  <r>
    <s v="CUST022"/>
    <s v="Senthil Balakrishnan"/>
    <x v="17"/>
    <s v="Female"/>
    <s v="Nagercoil"/>
    <s v="Tamil Nadu"/>
    <s v="senthil20@gmail.com"/>
    <s v="9573897330"/>
    <d v="2022-08-15T00:00:00"/>
    <s v="Gold"/>
    <n v="9"/>
    <n v="103835"/>
    <x v="1"/>
    <n v="11537.222222222223"/>
    <x v="1"/>
    <n v="45"/>
    <s v="High Spender"/>
    <s v="Less active"/>
  </r>
  <r>
    <s v="CUST023"/>
    <s v="Kalpana Mani"/>
    <x v="18"/>
    <s v="Male"/>
    <s v="Cuddalore"/>
    <s v="Tamil Nadu"/>
    <s v="kalpana49@gmail.com"/>
    <s v="9917228431"/>
    <d v="2022-12-16T00:00:00"/>
    <s v="Bronze"/>
    <n v="4"/>
    <n v="33880"/>
    <x v="1"/>
    <n v="8470"/>
    <x v="1"/>
    <n v="41"/>
    <s v="High Spender"/>
    <s v="Less active"/>
  </r>
  <r>
    <s v="CUST024"/>
    <s v="Ashwini Venkatesh"/>
    <x v="9"/>
    <s v="Male"/>
    <s v="Hosur"/>
    <s v="Tamil Nadu"/>
    <s v="ashwini87@gmail.com"/>
    <s v="9240824812"/>
    <d v="2022-02-19T00:00:00"/>
    <s v="Bronze"/>
    <n v="5"/>
    <n v="15436"/>
    <x v="0"/>
    <n v="3087.2"/>
    <x v="1"/>
    <n v="51"/>
    <s v="High Spender"/>
    <s v="Less active"/>
  </r>
  <r>
    <s v="CUST025"/>
    <s v="Vasanth Sundaram"/>
    <x v="15"/>
    <s v="Male"/>
    <s v="Erode"/>
    <s v="Tamil Nadu"/>
    <s v="vasanth71@gmail.com"/>
    <s v="9887147358"/>
    <d v="2022-04-15T00:00:00"/>
    <s v="Gold"/>
    <n v="5"/>
    <n v="4968.5"/>
    <x v="0"/>
    <n v="993.7"/>
    <x v="0"/>
    <n v="49"/>
    <s v="Medium Spender"/>
    <s v="Less active"/>
  </r>
  <r>
    <s v="CUST026"/>
    <s v="Rohini Ganesan"/>
    <x v="7"/>
    <s v="Female"/>
    <s v="Salem"/>
    <s v="Tamil Nadu"/>
    <s v="rohini99@gmail.com"/>
    <s v="9728339800"/>
    <d v="2022-05-27T00:00:00"/>
    <s v="Silver"/>
    <n v="3"/>
    <n v="3264"/>
    <x v="2"/>
    <n v="1088"/>
    <x v="0"/>
    <n v="48"/>
    <s v="Medium Spender"/>
    <s v="Less active"/>
  </r>
  <r>
    <s v="CUST027"/>
    <s v="Harish Ganesan"/>
    <x v="5"/>
    <s v="Male"/>
    <s v="Delhi"/>
    <s v="Delhi"/>
    <s v="harish28@gmail.com"/>
    <s v="9542859887"/>
    <d v="2022-12-16T00:00:00"/>
    <s v="Bronze"/>
    <n v="6"/>
    <n v="9336.5"/>
    <x v="2"/>
    <n v="1556.0833333333333"/>
    <x v="0"/>
    <n v="41"/>
    <s v="Medium Spender"/>
    <s v="Less active"/>
  </r>
  <r>
    <s v="CUST028"/>
    <s v="Vanitha Krishnan"/>
    <x v="13"/>
    <s v="Male"/>
    <s v="Tiruppur"/>
    <s v="Tamil Nadu"/>
    <s v="vanitha73@gmail.com"/>
    <s v="9456482292"/>
    <d v="2022-05-25T00:00:00"/>
    <s v="Bronze"/>
    <n v="11"/>
    <n v="57708"/>
    <x v="1"/>
    <n v="5246.181818181818"/>
    <x v="1"/>
    <n v="48"/>
    <s v="High Spender"/>
    <s v="Active"/>
  </r>
  <r>
    <s v="CUST029"/>
    <s v="Prasad Venkatesh"/>
    <x v="11"/>
    <s v="Female"/>
    <s v="Thanjavur"/>
    <s v="Tamil Nadu"/>
    <s v="prasad67@gmail.com"/>
    <s v="9296874531"/>
    <d v="2022-07-15T00:00:00"/>
    <s v="Silver"/>
    <n v="6"/>
    <n v="37546"/>
    <x v="1"/>
    <n v="6257.666666666667"/>
    <x v="1"/>
    <n v="46"/>
    <s v="High Spender"/>
    <s v="Less active"/>
  </r>
  <r>
    <s v="CUST030"/>
    <s v="Kalpana Velayutham"/>
    <x v="17"/>
    <s v="Female"/>
    <s v="Tirunelveli"/>
    <s v="Tamil Nadu"/>
    <s v="kalpana33@gmail.com"/>
    <s v="9544615770"/>
    <d v="2022-02-14T00:00:00"/>
    <s v="Gold"/>
    <n v="6"/>
    <n v="9946.5"/>
    <x v="1"/>
    <n v="1657.75"/>
    <x v="0"/>
    <n v="51"/>
    <s v="Medium Spender"/>
    <s v="Less active"/>
  </r>
  <r>
    <s v="CUST031"/>
    <s v="Girija Iyer"/>
    <x v="19"/>
    <s v="Male"/>
    <s v="Thanjavur"/>
    <s v="Tamil Nadu"/>
    <s v="girija90@gmail.com"/>
    <s v="9962316407"/>
    <d v="2022-04-17T00:00:00"/>
    <s v="Silver"/>
    <n v="3"/>
    <n v="15160"/>
    <x v="1"/>
    <n v="5053.333333333333"/>
    <x v="1"/>
    <n v="49"/>
    <s v="High Spender"/>
    <s v="Less active"/>
  </r>
  <r>
    <s v="CUST032"/>
    <s v="Indira Rangasamy"/>
    <x v="20"/>
    <s v="Female"/>
    <s v="Namakkal"/>
    <s v="Tamil Nadu"/>
    <s v="indira35@gmail.com"/>
    <s v="9677000150"/>
    <d v="2022-03-28T00:00:00"/>
    <s v="Silver"/>
    <n v="6"/>
    <n v="14058.5"/>
    <x v="1"/>
    <n v="2343.0833333333335"/>
    <x v="1"/>
    <n v="50"/>
    <s v="Medium Spender"/>
    <s v="Less active"/>
  </r>
  <r>
    <s v="CUST033"/>
    <s v="Anita Pillai"/>
    <x v="21"/>
    <s v="Female"/>
    <s v="Tirunelveli"/>
    <s v="Tamil Nadu"/>
    <s v="anita84@gmail.com"/>
    <s v="9302360390"/>
    <d v="2022-08-23T00:00:00"/>
    <s v="Gold"/>
    <n v="8"/>
    <n v="25501"/>
    <x v="0"/>
    <n v="3187.625"/>
    <x v="1"/>
    <n v="45"/>
    <s v="High Spender"/>
    <s v="Less active"/>
  </r>
  <r>
    <s v="CUST034"/>
    <s v="Aarav Krishnan"/>
    <x v="22"/>
    <s v="Male"/>
    <s v="Mumbai"/>
    <s v="Maharashtra"/>
    <s v="aarav23@gmail.com"/>
    <s v="9628227957"/>
    <d v="2022-06-12T00:00:00"/>
    <s v="Silver"/>
    <n v="5"/>
    <n v="193561.45"/>
    <x v="0"/>
    <n v="38712.29"/>
    <x v="1"/>
    <n v="47"/>
    <s v="High Spender"/>
    <s v="Less active"/>
  </r>
  <r>
    <s v="CUST035"/>
    <s v="Kalpana Chandran"/>
    <x v="6"/>
    <s v="Male"/>
    <s v="Karur"/>
    <s v="Tamil Nadu"/>
    <s v="kalpana99@gmail.com"/>
    <s v="9824264973"/>
    <d v="2022-02-24T00:00:00"/>
    <s v="Platinum"/>
    <n v="8"/>
    <n v="26968"/>
    <x v="0"/>
    <n v="3371"/>
    <x v="1"/>
    <n v="51"/>
    <s v="High Spender"/>
    <s v="Less active"/>
  </r>
  <r>
    <s v="CUST036"/>
    <s v="Kavitha Nair"/>
    <x v="4"/>
    <s v="Male"/>
    <s v="Vellore"/>
    <s v="Tamil Nadu"/>
    <s v="kavitha50@gmail.com"/>
    <s v="9994699783"/>
    <d v="2022-01-18T00:00:00"/>
    <s v="Gold"/>
    <n v="5"/>
    <n v="23640"/>
    <x v="0"/>
    <n v="4728"/>
    <x v="1"/>
    <n v="52"/>
    <s v="High Spender"/>
    <s v="Less active"/>
  </r>
  <r>
    <s v="CUST037"/>
    <s v="Manoj Chandran"/>
    <x v="23"/>
    <s v="Male"/>
    <s v="Sivakasi"/>
    <s v="Tamil Nadu"/>
    <s v="manoj94@gmail.com"/>
    <s v="9202136488"/>
    <d v="2022-05-29T00:00:00"/>
    <s v="Gold"/>
    <n v="4"/>
    <n v="17555"/>
    <x v="1"/>
    <n v="4388.75"/>
    <x v="1"/>
    <n v="48"/>
    <s v="High Spender"/>
    <s v="Less active"/>
  </r>
  <r>
    <s v="CUST038"/>
    <s v="Rohini Prabhu"/>
    <x v="10"/>
    <s v="Male"/>
    <s v="Delhi"/>
    <s v="Delhi"/>
    <s v="rohini83@gmail.com"/>
    <s v="9347045463"/>
    <d v="2022-02-04T00:00:00"/>
    <s v="Gold"/>
    <n v="3"/>
    <n v="4911"/>
    <x v="1"/>
    <n v="1637"/>
    <x v="0"/>
    <n v="52"/>
    <s v="Medium Spender"/>
    <s v="Less active"/>
  </r>
  <r>
    <s v="CUST039"/>
    <s v="Sivakami Perumal"/>
    <x v="15"/>
    <s v="Female"/>
    <s v="Namakkal"/>
    <s v="Tamil Nadu"/>
    <s v="sivakami81@gmail.com"/>
    <s v="9555440398"/>
    <d v="2022-09-19T00:00:00"/>
    <s v="Bronze"/>
    <n v="4"/>
    <n v="19180"/>
    <x v="0"/>
    <n v="4795"/>
    <x v="1"/>
    <n v="44"/>
    <s v="High Spender"/>
    <s v="Less active"/>
  </r>
  <r>
    <s v="CUST040"/>
    <s v="Rajesh Pandian"/>
    <x v="24"/>
    <s v="Male"/>
    <s v="Madurai"/>
    <s v="Tamil Nadu"/>
    <s v="rajesh22@gmail.com"/>
    <s v="9269278523"/>
    <d v="2022-10-24T00:00:00"/>
    <s v="Bronze"/>
    <n v="3"/>
    <n v="4656.2"/>
    <x v="2"/>
    <n v="1552.0666666666666"/>
    <x v="0"/>
    <n v="43"/>
    <s v="Medium Spender"/>
    <s v="Less active"/>
  </r>
  <r>
    <s v="CUST041"/>
    <s v="Mohan Annamalai"/>
    <x v="0"/>
    <s v="Female"/>
    <s v="Tiruppur"/>
    <s v="Tamil Nadu"/>
    <s v="mohan70@gmail.com"/>
    <s v="9139398866"/>
    <d v="2022-07-19T00:00:00"/>
    <s v="Silver"/>
    <n v="7"/>
    <n v="11378"/>
    <x v="0"/>
    <n v="1625.4285714285713"/>
    <x v="1"/>
    <n v="46"/>
    <s v="Medium Spender"/>
    <s v="Less active"/>
  </r>
  <r>
    <s v="CUST042"/>
    <s v="Deepa Narayanan"/>
    <x v="12"/>
    <s v="Female"/>
    <s v="Namakkal"/>
    <s v="Tamil Nadu"/>
    <s v="deepa65@gmail.com"/>
    <s v="9856503406"/>
    <d v="2022-04-06T00:00:00"/>
    <s v="Silver"/>
    <n v="2"/>
    <n v="1782.4"/>
    <x v="0"/>
    <n v="891.2"/>
    <x v="0"/>
    <n v="50"/>
    <s v="Medium Spender"/>
    <s v="Less active"/>
  </r>
  <r>
    <s v="CUST043"/>
    <s v="Nithya Prabhu"/>
    <x v="24"/>
    <s v="Female"/>
    <s v="Pune"/>
    <s v="Maharashtra"/>
    <s v="nithya86@gmail.com"/>
    <s v="9724960006"/>
    <d v="2022-04-28T00:00:00"/>
    <s v="Silver"/>
    <n v="3"/>
    <n v="2858"/>
    <x v="2"/>
    <n v="952.66666666666663"/>
    <x v="0"/>
    <n v="49"/>
    <s v="Medium Spender"/>
    <s v="Less active"/>
  </r>
  <r>
    <s v="CUST044"/>
    <s v="Arjun Duraisamy"/>
    <x v="1"/>
    <s v="Female"/>
    <s v="Vellore"/>
    <s v="Tamil Nadu"/>
    <s v="arjun47@gmail.com"/>
    <s v="9523946769"/>
    <d v="2022-09-18T00:00:00"/>
    <s v="Gold"/>
    <n v="3"/>
    <n v="4880"/>
    <x v="0"/>
    <n v="1626.6666666666667"/>
    <x v="0"/>
    <n v="44"/>
    <s v="Medium Spender"/>
    <s v="Less active"/>
  </r>
  <r>
    <s v="CUST045"/>
    <s v="Harish Thangavel"/>
    <x v="23"/>
    <s v="Male"/>
    <s v="Tirunelveli"/>
    <s v="Tamil Nadu"/>
    <s v="harish83@gmail.com"/>
    <s v="9906088549"/>
    <d v="2022-04-27T00:00:00"/>
    <s v="Silver"/>
    <n v="9"/>
    <n v="44808.65"/>
    <x v="1"/>
    <n v="4978.7388888888891"/>
    <x v="1"/>
    <n v="49"/>
    <s v="High Spender"/>
    <s v="Less active"/>
  </r>
  <r>
    <s v="CUST046"/>
    <s v="Shanthi Sundaram"/>
    <x v="20"/>
    <s v="Female"/>
    <s v="Thanjavur"/>
    <s v="Tamil Nadu"/>
    <s v="shanthi53@gmail.com"/>
    <s v="9270032955"/>
    <d v="2022-05-28T00:00:00"/>
    <s v="Bronze"/>
    <n v="4"/>
    <n v="3659"/>
    <x v="1"/>
    <n v="914.75"/>
    <x v="0"/>
    <n v="48"/>
    <s v="Medium Spender"/>
    <s v="Less active"/>
  </r>
  <r>
    <s v="CUST047"/>
    <s v="Ponmani Raj"/>
    <x v="17"/>
    <s v="Male"/>
    <s v="Nagercoil"/>
    <s v="Tamil Nadu"/>
    <s v="ponmani54@gmail.com"/>
    <s v="9424997250"/>
    <d v="2022-10-15T00:00:00"/>
    <s v="Silver"/>
    <n v="8"/>
    <n v="17181.599999999999"/>
    <x v="1"/>
    <n v="2147.6999999999998"/>
    <x v="1"/>
    <n v="43"/>
    <s v="High Spender"/>
    <s v="Less active"/>
  </r>
  <r>
    <s v="CUST048"/>
    <s v="Elavarasi Karuppasamy"/>
    <x v="4"/>
    <s v="Female"/>
    <s v="Bangalore"/>
    <s v="Karnataka"/>
    <s v="elavarasi43@gmail.com"/>
    <s v="9379584063"/>
    <d v="2022-07-07T00:00:00"/>
    <s v="Platinum"/>
    <n v="6"/>
    <n v="92999.8"/>
    <x v="0"/>
    <n v="15499.966666666667"/>
    <x v="1"/>
    <n v="47"/>
    <s v="High Spender"/>
    <s v="Less active"/>
  </r>
  <r>
    <s v="CUST049"/>
    <s v="Oviya Babu"/>
    <x v="21"/>
    <s v="Female"/>
    <s v="Trichy"/>
    <s v="Tamil Nadu"/>
    <s v="oviya82@gmail.com"/>
    <s v="9202486722"/>
    <d v="2022-12-06T00:00:00"/>
    <s v="Silver"/>
    <n v="4"/>
    <n v="5600"/>
    <x v="0"/>
    <n v="1400"/>
    <x v="0"/>
    <n v="42"/>
    <s v="Medium Spender"/>
    <s v="Less active"/>
  </r>
  <r>
    <s v="CUST050"/>
    <s v="Kavitha Devi"/>
    <x v="3"/>
    <s v="Female"/>
    <s v="Pune"/>
    <s v="Maharashtra"/>
    <s v="kavitha49@gmail.com"/>
    <s v="9174121126"/>
    <d v="2022-12-12T00:00:00"/>
    <s v="Silver"/>
    <n v="2"/>
    <n v="16610"/>
    <x v="1"/>
    <n v="8305"/>
    <x v="1"/>
    <n v="41"/>
    <s v="High Spender"/>
    <s v="Less active"/>
  </r>
  <r>
    <s v="CUST051"/>
    <s v="Bhavana Gopal"/>
    <x v="20"/>
    <s v="Male"/>
    <s v="Hosur"/>
    <s v="Tamil Nadu"/>
    <s v="bhavana39@gmail.com"/>
    <s v="9300421238"/>
    <d v="2022-11-22T00:00:00"/>
    <s v="Bronze"/>
    <n v="8"/>
    <n v="60285"/>
    <x v="1"/>
    <n v="7535.625"/>
    <x v="1"/>
    <n v="42"/>
    <s v="High Spender"/>
    <s v="Less active"/>
  </r>
  <r>
    <s v="CUST052"/>
    <s v="Vijay Nair"/>
    <x v="21"/>
    <s v="Male"/>
    <s v="Pune"/>
    <s v="Maharashtra"/>
    <s v="vijay97@gmail.com"/>
    <s v="9103032082"/>
    <d v="2022-08-09T00:00:00"/>
    <s v="Silver"/>
    <n v="0"/>
    <n v="0"/>
    <x v="0"/>
    <e v="#DIV/0!"/>
    <x v="0"/>
    <n v="46"/>
    <s v="Medium Spender"/>
    <s v="Less active"/>
  </r>
  <r>
    <s v="CUST053"/>
    <s v="Gayatri Chandran"/>
    <x v="17"/>
    <s v="Male"/>
    <s v="Delhi"/>
    <s v="Delhi"/>
    <s v="gayatri70@gmail.com"/>
    <s v="9799433795"/>
    <d v="2022-04-23T00:00:00"/>
    <s v="Platinum"/>
    <n v="6"/>
    <n v="68150"/>
    <x v="1"/>
    <n v="11358.333333333334"/>
    <x v="1"/>
    <n v="49"/>
    <s v="High Spender"/>
    <s v="Less active"/>
  </r>
  <r>
    <s v="CUST054"/>
    <s v="Tamilarasi Murugan"/>
    <x v="19"/>
    <s v="Female"/>
    <s v="Tirunelveli"/>
    <s v="Tamil Nadu"/>
    <s v="tamilarasi99@gmail.com"/>
    <s v="9847975273"/>
    <d v="2022-09-09T00:00:00"/>
    <s v="Silver"/>
    <n v="4"/>
    <n v="3720"/>
    <x v="1"/>
    <n v="930"/>
    <x v="0"/>
    <n v="45"/>
    <s v="Medium Spender"/>
    <s v="Less active"/>
  </r>
  <r>
    <s v="CUST055"/>
    <s v="Aruna Iyer"/>
    <x v="25"/>
    <s v="Male"/>
    <s v="Cuddalore"/>
    <s v="Tamil Nadu"/>
    <s v="aruna49@gmail.com"/>
    <s v="9303384539"/>
    <d v="2022-04-10T00:00:00"/>
    <s v="Silver"/>
    <n v="6"/>
    <n v="7668.5"/>
    <x v="2"/>
    <n v="1278.0833333333333"/>
    <x v="0"/>
    <n v="50"/>
    <s v="Medium Spender"/>
    <s v="Less active"/>
  </r>
  <r>
    <s v="CUST056"/>
    <s v="Ashok Chinnaswamy"/>
    <x v="22"/>
    <s v="Female"/>
    <s v="Cuddalore"/>
    <s v="Tamil Nadu"/>
    <s v="ashok77@gmail.com"/>
    <s v="9964818994"/>
    <d v="2022-02-09T00:00:00"/>
    <s v="Silver"/>
    <n v="2"/>
    <n v="16409"/>
    <x v="0"/>
    <n v="8204.5"/>
    <x v="1"/>
    <n v="52"/>
    <s v="High Spender"/>
    <s v="Less active"/>
  </r>
  <r>
    <s v="CUST057"/>
    <s v="Vimal Sharma"/>
    <x v="23"/>
    <s v="Male"/>
    <s v="Cuddalore"/>
    <s v="Tamil Nadu"/>
    <s v="vimal74@gmail.com"/>
    <s v="9863013621"/>
    <d v="2022-11-21T00:00:00"/>
    <s v="Platinum"/>
    <n v="6"/>
    <n v="142269"/>
    <x v="1"/>
    <n v="23711.5"/>
    <x v="1"/>
    <n v="42"/>
    <s v="High Spender"/>
    <s v="Less active"/>
  </r>
  <r>
    <s v="CUST058"/>
    <s v="Ashok Chinnaswamy"/>
    <x v="26"/>
    <s v="Male"/>
    <s v="Tirunelveli"/>
    <s v="Tamil Nadu"/>
    <s v="ashok46@gmail.com"/>
    <s v="9468052086"/>
    <d v="2022-07-05T00:00:00"/>
    <s v="Gold"/>
    <n v="6"/>
    <n v="70978"/>
    <x v="0"/>
    <n v="11829.666666666666"/>
    <x v="1"/>
    <n v="47"/>
    <s v="High Spender"/>
    <s v="Less active"/>
  </r>
  <r>
    <s v="CUST059"/>
    <s v="Sridhar Balakrishnan"/>
    <x v="8"/>
    <s v="Male"/>
    <s v="Chennai"/>
    <s v="Tamil Nadu"/>
    <s v="sridhar25@gmail.com"/>
    <s v="9367775934"/>
    <d v="2022-06-27T00:00:00"/>
    <s v="Platinum"/>
    <n v="3"/>
    <n v="2599"/>
    <x v="1"/>
    <n v="866.33333333333337"/>
    <x v="0"/>
    <n v="47"/>
    <s v="Medium Spender"/>
    <s v="Less active"/>
  </r>
  <r>
    <s v="CUST060"/>
    <s v="Balaji Natarajan"/>
    <x v="27"/>
    <s v="Male"/>
    <s v="Chennai"/>
    <s v="Tamil Nadu"/>
    <s v="balaji64@gmail.com"/>
    <s v="9282982656"/>
    <d v="2022-07-12T00:00:00"/>
    <s v="Bronze"/>
    <n v="7"/>
    <n v="56954"/>
    <x v="2"/>
    <n v="8136.2857142857147"/>
    <x v="1"/>
    <n v="46"/>
    <s v="High Spender"/>
    <s v="Less active"/>
  </r>
  <r>
    <s v="CUST061"/>
    <s v="Gopal Devi"/>
    <x v="21"/>
    <s v="Female"/>
    <s v="Trichy"/>
    <s v="Tamil Nadu"/>
    <s v="gopal82@gmail.com"/>
    <s v="9607927175"/>
    <d v="2022-02-05T00:00:00"/>
    <s v="Gold"/>
    <n v="2"/>
    <n v="1930"/>
    <x v="0"/>
    <n v="965"/>
    <x v="0"/>
    <n v="52"/>
    <s v="Medium Spender"/>
    <s v="Less active"/>
  </r>
  <r>
    <s v="CUST062"/>
    <s v="Vinoth Gopal"/>
    <x v="18"/>
    <s v="Male"/>
    <s v="Nagercoil"/>
    <s v="Tamil Nadu"/>
    <s v="vinoth34@gmail.com"/>
    <s v="9280810078"/>
    <d v="2022-04-11T00:00:00"/>
    <s v="Bronze"/>
    <n v="6"/>
    <n v="8341"/>
    <x v="1"/>
    <n v="1390.1666666666667"/>
    <x v="0"/>
    <n v="49"/>
    <s v="Medium Spender"/>
    <s v="Less active"/>
  </r>
  <r>
    <s v="CUST063"/>
    <s v="Indira Pandian"/>
    <x v="20"/>
    <s v="Female"/>
    <s v="Mumbai"/>
    <s v="Maharashtra"/>
    <s v="indira59@gmail.com"/>
    <s v="9280185666"/>
    <d v="2022-11-29T00:00:00"/>
    <s v="Bronze"/>
    <n v="7"/>
    <n v="189139.6"/>
    <x v="1"/>
    <n v="27019.942857142858"/>
    <x v="1"/>
    <n v="42"/>
    <s v="High Spender"/>
    <s v="Less active"/>
  </r>
  <r>
    <s v="CUST064"/>
    <s v="Gopal Palanisamy"/>
    <x v="28"/>
    <s v="Male"/>
    <s v="Thanjavur"/>
    <s v="Tamil Nadu"/>
    <s v="gopal21@gmail.com"/>
    <s v="9816495802"/>
    <d v="2022-03-17T00:00:00"/>
    <s v="Platinum"/>
    <n v="6"/>
    <n v="3813.65"/>
    <x v="0"/>
    <n v="635.60833333333335"/>
    <x v="0"/>
    <n v="50"/>
    <s v="Medium Spender"/>
    <s v="Less active"/>
  </r>
  <r>
    <s v="CUST065"/>
    <s v="Lavanya Velayutham"/>
    <x v="13"/>
    <s v="Male"/>
    <s v="Hosur"/>
    <s v="Tamil Nadu"/>
    <s v="lavanya22@gmail.com"/>
    <s v="9745388697"/>
    <d v="2022-03-25T00:00:00"/>
    <s v="Gold"/>
    <n v="4"/>
    <n v="14088"/>
    <x v="1"/>
    <n v="3522"/>
    <x v="1"/>
    <n v="50"/>
    <s v="Medium Spender"/>
    <s v="Less active"/>
  </r>
  <r>
    <s v="CUST066"/>
    <s v="Ranjith Gopal"/>
    <x v="11"/>
    <s v="Male"/>
    <s v="Bangalore"/>
    <s v="Karnataka"/>
    <s v="ranjith51@gmail.com"/>
    <s v="9315062702"/>
    <d v="2022-04-15T00:00:00"/>
    <s v="Bronze"/>
    <n v="5"/>
    <n v="45418"/>
    <x v="1"/>
    <n v="9083.6"/>
    <x v="1"/>
    <n v="49"/>
    <s v="High Spender"/>
    <s v="Less active"/>
  </r>
  <r>
    <s v="CUST067"/>
    <s v="Usha Srinivasan"/>
    <x v="7"/>
    <s v="Male"/>
    <s v="Hyderabad"/>
    <s v="Telangana"/>
    <s v="usha14@gmail.com"/>
    <s v="9896600044"/>
    <d v="2022-08-04T00:00:00"/>
    <s v="Platinum"/>
    <n v="3"/>
    <n v="8710.5"/>
    <x v="2"/>
    <n v="2903.5"/>
    <x v="0"/>
    <n v="46"/>
    <s v="Medium Spender"/>
    <s v="Less active"/>
  </r>
  <r>
    <s v="CUST068"/>
    <s v="Vanitha Iyer"/>
    <x v="6"/>
    <s v="Male"/>
    <s v="Vellore"/>
    <s v="Tamil Nadu"/>
    <s v="vanitha64@gmail.com"/>
    <s v="9901894258"/>
    <d v="2022-02-03T00:00:00"/>
    <s v="Gold"/>
    <n v="3"/>
    <n v="13547.5"/>
    <x v="0"/>
    <n v="4515.833333333333"/>
    <x v="1"/>
    <n v="52"/>
    <s v="Medium Spender"/>
    <s v="Less active"/>
  </r>
  <r>
    <s v="CUST069"/>
    <s v="Divya Annamalai"/>
    <x v="18"/>
    <s v="Female"/>
    <s v="Bangalore"/>
    <s v="Karnataka"/>
    <s v="divya58@gmail.com"/>
    <s v="9503776406"/>
    <d v="2022-12-10T00:00:00"/>
    <s v="Gold"/>
    <n v="1"/>
    <n v="880"/>
    <x v="1"/>
    <n v="880"/>
    <x v="0"/>
    <n v="42"/>
    <s v="Medium Spender"/>
    <s v="Less active"/>
  </r>
  <r>
    <s v="CUST070"/>
    <s v="Harish Selvam"/>
    <x v="3"/>
    <s v="Male"/>
    <s v="Karur"/>
    <s v="Tamil Nadu"/>
    <s v="harish12@gmail.com"/>
    <s v="9466252337"/>
    <d v="2022-09-24T00:00:00"/>
    <s v="Gold"/>
    <n v="2"/>
    <n v="88627"/>
    <x v="1"/>
    <n v="44313.5"/>
    <x v="1"/>
    <n v="44"/>
    <s v="High Spender"/>
    <s v="Less active"/>
  </r>
  <r>
    <s v="CUST071"/>
    <s v="Revathi Kumar"/>
    <x v="7"/>
    <s v="Female"/>
    <s v="Trichy"/>
    <s v="Tamil Nadu"/>
    <s v="revathi99@gmail.com"/>
    <s v="9224786608"/>
    <d v="2022-05-01T00:00:00"/>
    <s v="Bronze"/>
    <n v="6"/>
    <n v="6704.5"/>
    <x v="2"/>
    <n v="1117.4166666666667"/>
    <x v="0"/>
    <n v="49"/>
    <s v="Medium Spender"/>
    <s v="Less active"/>
  </r>
  <r>
    <s v="CUST072"/>
    <s v="Nisha Kumar"/>
    <x v="29"/>
    <s v="Male"/>
    <s v="Erode"/>
    <s v="Tamil Nadu"/>
    <s v="nisha27@gmail.com"/>
    <s v="9498597708"/>
    <d v="2022-08-26T00:00:00"/>
    <s v="Gold"/>
    <n v="4"/>
    <n v="9827.4500000000007"/>
    <x v="1"/>
    <n v="2456.8625000000002"/>
    <x v="0"/>
    <n v="45"/>
    <s v="Medium Spender"/>
    <s v="Less active"/>
  </r>
  <r>
    <s v="CUST073"/>
    <s v="Quamar Ramasamy"/>
    <x v="30"/>
    <s v="Male"/>
    <s v="Hyderabad"/>
    <s v="Telangana"/>
    <s v="quamar10@gmail.com"/>
    <s v="9329882206"/>
    <d v="2022-05-25T00:00:00"/>
    <s v="Gold"/>
    <n v="3"/>
    <n v="173029.2"/>
    <x v="1"/>
    <n v="57676.4"/>
    <x v="1"/>
    <n v="48"/>
    <s v="High Spender"/>
    <s v="Less active"/>
  </r>
  <r>
    <s v="CUST074"/>
    <s v="Bharathi Raj"/>
    <x v="18"/>
    <s v="Male"/>
    <s v="Vellore"/>
    <s v="Tamil Nadu"/>
    <s v="bharathi17@gmail.com"/>
    <s v="9202878905"/>
    <d v="2022-10-22T00:00:00"/>
    <s v="Silver"/>
    <n v="6"/>
    <n v="6250.5"/>
    <x v="1"/>
    <n v="1041.75"/>
    <x v="0"/>
    <n v="43"/>
    <s v="Medium Spender"/>
    <s v="Less active"/>
  </r>
  <r>
    <s v="CUST075"/>
    <s v="Vasanth Velayutham"/>
    <x v="18"/>
    <s v="Female"/>
    <s v="Kochi"/>
    <s v="Kerala"/>
    <s v="vasanth73@gmail.com"/>
    <s v="9980586433"/>
    <d v="2022-06-25T00:00:00"/>
    <s v="Silver"/>
    <n v="6"/>
    <n v="217699"/>
    <x v="1"/>
    <n v="36283.166666666664"/>
    <x v="1"/>
    <n v="47"/>
    <s v="High Spender"/>
    <s v="Less active"/>
  </r>
  <r>
    <s v="CUST076"/>
    <s v="Selvam Chinnaswamy"/>
    <x v="5"/>
    <s v="Male"/>
    <s v="Coimbatore"/>
    <s v="Tamil Nadu"/>
    <s v="selvam81@gmail.com"/>
    <s v="9653636382"/>
    <d v="2022-10-01T00:00:00"/>
    <s v="Silver"/>
    <n v="4"/>
    <n v="8894"/>
    <x v="2"/>
    <n v="2223.5"/>
    <x v="0"/>
    <n v="44"/>
    <s v="Medium Spender"/>
    <s v="Less active"/>
  </r>
  <r>
    <s v="CUST077"/>
    <s v="Ramesh Venkatesh"/>
    <x v="31"/>
    <s v="Female"/>
    <s v="Chennai"/>
    <s v="Tamil Nadu"/>
    <s v="ramesh41@gmail.com"/>
    <s v="9578715676"/>
    <d v="2022-12-09T00:00:00"/>
    <s v="Silver"/>
    <n v="6"/>
    <n v="34055.5"/>
    <x v="0"/>
    <n v="5675.916666666667"/>
    <x v="1"/>
    <n v="42"/>
    <s v="High Spender"/>
    <s v="Less active"/>
  </r>
  <r>
    <s v="CUST078"/>
    <s v="Shanthi Venkatesh"/>
    <x v="32"/>
    <s v="Female"/>
    <s v="Kochi"/>
    <s v="Kerala"/>
    <s v="shanthi43@gmail.com"/>
    <s v="9860827386"/>
    <d v="2022-01-26T00:00:00"/>
    <s v="Gold"/>
    <n v="7"/>
    <n v="7671.8"/>
    <x v="0"/>
    <n v="1095.9714285714285"/>
    <x v="0"/>
    <n v="52"/>
    <s v="Medium Spender"/>
    <s v="Less active"/>
  </r>
  <r>
    <s v="CUST079"/>
    <s v="Kumar Murugan"/>
    <x v="33"/>
    <s v="Male"/>
    <s v="Erode"/>
    <s v="Tamil Nadu"/>
    <s v="kumar39@gmail.com"/>
    <s v="9165095906"/>
    <d v="2022-02-23T00:00:00"/>
    <s v="Silver"/>
    <n v="8"/>
    <n v="109754"/>
    <x v="0"/>
    <n v="13719.25"/>
    <x v="1"/>
    <n v="51"/>
    <s v="High Spender"/>
    <s v="Less active"/>
  </r>
  <r>
    <s v="CUST080"/>
    <s v="Vasanth Pillai"/>
    <x v="34"/>
    <s v="Male"/>
    <s v="Hyderabad"/>
    <s v="Telangana"/>
    <s v="vasanth51@gmail.com"/>
    <s v="9663183876"/>
    <d v="2022-02-03T00:00:00"/>
    <s v="Platinum"/>
    <n v="1"/>
    <n v="912"/>
    <x v="1"/>
    <n v="912"/>
    <x v="0"/>
    <n v="52"/>
    <s v="Medium Spender"/>
    <s v="Less active"/>
  </r>
  <r>
    <s v="CUST081"/>
    <s v="Anita Iyer"/>
    <x v="32"/>
    <s v="Female"/>
    <s v="Tirunelveli"/>
    <s v="Tamil Nadu"/>
    <s v="anita33@gmail.com"/>
    <s v="9257055130"/>
    <d v="2022-12-31T00:00:00"/>
    <s v="Gold"/>
    <n v="9"/>
    <n v="63577"/>
    <x v="0"/>
    <n v="7064.1111111111113"/>
    <x v="1"/>
    <n v="41"/>
    <s v="High Spender"/>
    <s v="Less active"/>
  </r>
  <r>
    <s v="CUST082"/>
    <s v="Ajay Venkatesh"/>
    <x v="5"/>
    <s v="Female"/>
    <s v="Dindigul"/>
    <s v="Tamil Nadu"/>
    <s v="ajay61@gmail.com"/>
    <s v="9793310525"/>
    <d v="2022-07-22T00:00:00"/>
    <s v="Bronze"/>
    <n v="8"/>
    <n v="27640"/>
    <x v="2"/>
    <n v="3455"/>
    <x v="1"/>
    <n v="46"/>
    <s v="High Spender"/>
    <s v="Less active"/>
  </r>
  <r>
    <s v="CUST083"/>
    <s v="Kumar Duraisamy"/>
    <x v="19"/>
    <s v="Male"/>
    <s v="Tirunelveli"/>
    <s v="Tamil Nadu"/>
    <s v="kumar28@gmail.com"/>
    <s v="9816623079"/>
    <d v="2022-07-31T00:00:00"/>
    <s v="Bronze"/>
    <n v="3"/>
    <n v="5386"/>
    <x v="1"/>
    <n v="1795.3333333333333"/>
    <x v="0"/>
    <n v="46"/>
    <s v="Medium Spender"/>
    <s v="Less active"/>
  </r>
  <r>
    <s v="CUST084"/>
    <s v="Pooja Velayutham"/>
    <x v="9"/>
    <s v="Female"/>
    <s v="Hyderabad"/>
    <s v="Telangana"/>
    <s v="pooja10@gmail.com"/>
    <s v="9346386555"/>
    <d v="2022-07-30T00:00:00"/>
    <s v="Gold"/>
    <n v="7"/>
    <n v="7397"/>
    <x v="0"/>
    <n v="1056.7142857142858"/>
    <x v="0"/>
    <n v="46"/>
    <s v="Medium Spender"/>
    <s v="Less active"/>
  </r>
  <r>
    <s v="CUST085"/>
    <s v="Sathish Balakrishnan"/>
    <x v="35"/>
    <s v="Male"/>
    <s v="Tirunelveli"/>
    <s v="Tamil Nadu"/>
    <s v="sathish60@gmail.com"/>
    <s v="9381184846"/>
    <d v="2022-03-04T00:00:00"/>
    <s v="Silver"/>
    <n v="5"/>
    <n v="11846"/>
    <x v="0"/>
    <n v="2369.1999999999998"/>
    <x v="1"/>
    <n v="51"/>
    <s v="Medium Spender"/>
    <s v="Less active"/>
  </r>
  <r>
    <s v="CUST086"/>
    <s v="Akash Rajan"/>
    <x v="11"/>
    <s v="Female"/>
    <s v="Trichy"/>
    <s v="Tamil Nadu"/>
    <s v="akash53@gmail.com"/>
    <s v="9541880983"/>
    <d v="2022-08-24T00:00:00"/>
    <s v="Silver"/>
    <n v="3"/>
    <n v="11129.5"/>
    <x v="1"/>
    <n v="3709.8333333333335"/>
    <x v="1"/>
    <n v="45"/>
    <s v="Medium Spender"/>
    <s v="Less active"/>
  </r>
  <r>
    <s v="CUST087"/>
    <s v="Pooja Perumal"/>
    <x v="33"/>
    <s v="Male"/>
    <s v="Hosur"/>
    <s v="Tamil Nadu"/>
    <s v="pooja48@gmail.com"/>
    <s v="9210091914"/>
    <d v="2022-04-04T00:00:00"/>
    <s v="Bronze"/>
    <n v="3"/>
    <n v="3545.5"/>
    <x v="0"/>
    <n v="1181.8333333333333"/>
    <x v="0"/>
    <n v="50"/>
    <s v="Medium Spender"/>
    <s v="Less active"/>
  </r>
  <r>
    <s v="CUST088"/>
    <s v="Gopal Ramasamy"/>
    <x v="36"/>
    <s v="Female"/>
    <s v="Sivakasi"/>
    <s v="Tamil Nadu"/>
    <s v="gopal91@gmail.com"/>
    <s v="9351455876"/>
    <d v="2022-07-17T00:00:00"/>
    <s v="Silver"/>
    <n v="6"/>
    <n v="24933"/>
    <x v="0"/>
    <n v="4155.5"/>
    <x v="1"/>
    <n v="46"/>
    <s v="High Spender"/>
    <s v="Less active"/>
  </r>
  <r>
    <s v="CUST089"/>
    <s v="Arjun Devi"/>
    <x v="21"/>
    <s v="Male"/>
    <s v="Namakkal"/>
    <s v="Tamil Nadu"/>
    <s v="arjun27@gmail.com"/>
    <s v="9725934186"/>
    <d v="2022-05-05T00:00:00"/>
    <s v="Platinum"/>
    <n v="7"/>
    <n v="11593"/>
    <x v="0"/>
    <n v="1656.1428571428571"/>
    <x v="1"/>
    <n v="49"/>
    <s v="Medium Spender"/>
    <s v="Less active"/>
  </r>
  <r>
    <s v="CUST090"/>
    <s v="Ramesh Sharma"/>
    <x v="25"/>
    <s v="Male"/>
    <s v="Tiruppur"/>
    <s v="Tamil Nadu"/>
    <s v="ramesh33@gmail.com"/>
    <s v="9773279904"/>
    <d v="2022-01-21T00:00:00"/>
    <s v="Silver"/>
    <n v="4"/>
    <n v="5701"/>
    <x v="2"/>
    <n v="1425.25"/>
    <x v="0"/>
    <n v="52"/>
    <s v="Medium Spender"/>
    <s v="Less active"/>
  </r>
  <r>
    <s v="CUST091"/>
    <s v="Kavitha Rajan"/>
    <x v="34"/>
    <s v="Female"/>
    <s v="Thanjavur"/>
    <s v="Tamil Nadu"/>
    <s v="kavitha92@gmail.com"/>
    <s v="9896317030"/>
    <d v="2022-12-27T00:00:00"/>
    <s v="Silver"/>
    <n v="1"/>
    <n v="4500"/>
    <x v="1"/>
    <n v="4500"/>
    <x v="0"/>
    <n v="41"/>
    <s v="Medium Spender"/>
    <s v="Less active"/>
  </r>
  <r>
    <s v="CUST092"/>
    <s v="Sridhar Narayanan"/>
    <x v="12"/>
    <s v="Male"/>
    <s v="Salem"/>
    <s v="Tamil Nadu"/>
    <s v="sridhar82@gmail.com"/>
    <s v="9750638920"/>
    <d v="2022-10-12T00:00:00"/>
    <s v="Silver"/>
    <n v="5"/>
    <n v="3279.5"/>
    <x v="0"/>
    <n v="655.9"/>
    <x v="0"/>
    <n v="43"/>
    <s v="Medium Spender"/>
    <s v="Less active"/>
  </r>
  <r>
    <s v="CUST093"/>
    <s v="Jayashree Narayanan"/>
    <x v="21"/>
    <s v="Female"/>
    <s v="Nagercoil"/>
    <s v="Tamil Nadu"/>
    <s v="jayashree21@gmail.com"/>
    <s v="9647545053"/>
    <d v="2022-05-22T00:00:00"/>
    <s v="Gold"/>
    <n v="5"/>
    <n v="3070"/>
    <x v="0"/>
    <n v="614"/>
    <x v="0"/>
    <n v="48"/>
    <s v="Medium Spender"/>
    <s v="Less active"/>
  </r>
  <r>
    <s v="CUST094"/>
    <s v="Ashok Perumal"/>
    <x v="30"/>
    <s v="Male"/>
    <s v="Trichy"/>
    <s v="Tamil Nadu"/>
    <s v="ashok74@gmail.com"/>
    <s v="9606213013"/>
    <d v="2022-08-31T00:00:00"/>
    <s v="Gold"/>
    <n v="2"/>
    <n v="882"/>
    <x v="1"/>
    <n v="441"/>
    <x v="0"/>
    <n v="45"/>
    <s v="Medium Spender"/>
    <s v="Less active"/>
  </r>
  <r>
    <s v="CUST095"/>
    <s v="Vanitha Natarajan"/>
    <x v="36"/>
    <s v="Female"/>
    <s v="Hyderabad"/>
    <s v="Telangana"/>
    <s v="vanitha41@gmail.com"/>
    <s v="9686889142"/>
    <d v="2022-08-17T00:00:00"/>
    <s v="Gold"/>
    <n v="11"/>
    <n v="49133"/>
    <x v="0"/>
    <n v="4466.636363636364"/>
    <x v="1"/>
    <n v="45"/>
    <s v="High Spender"/>
    <s v="Active"/>
  </r>
  <r>
    <s v="CUST096"/>
    <s v="Suresh Murugan"/>
    <x v="28"/>
    <s v="Male"/>
    <s v="Erode"/>
    <s v="Tamil Nadu"/>
    <s v="suresh13@gmail.com"/>
    <s v="9715379322"/>
    <d v="2022-08-10T00:00:00"/>
    <s v="Gold"/>
    <n v="5"/>
    <n v="114740.5"/>
    <x v="0"/>
    <n v="22948.1"/>
    <x v="1"/>
    <n v="46"/>
    <s v="High Spender"/>
    <s v="Less active"/>
  </r>
  <r>
    <s v="CUST097"/>
    <s v="Aarav Ramasamy"/>
    <x v="24"/>
    <s v="Female"/>
    <s v="Trichy"/>
    <s v="Tamil Nadu"/>
    <s v="aarav63@gmail.com"/>
    <s v="9949394427"/>
    <d v="2022-08-12T00:00:00"/>
    <s v="Bronze"/>
    <n v="5"/>
    <n v="25954"/>
    <x v="2"/>
    <n v="5190.8"/>
    <x v="1"/>
    <n v="45"/>
    <s v="High Spender"/>
    <s v="Less active"/>
  </r>
  <r>
    <s v="CUST098"/>
    <s v="Harish Thangavel"/>
    <x v="23"/>
    <s v="Female"/>
    <s v="Kochi"/>
    <s v="Kerala"/>
    <s v="harish75@gmail.com"/>
    <s v="9182013985"/>
    <d v="2022-12-28T00:00:00"/>
    <s v="Gold"/>
    <n v="2"/>
    <n v="19200"/>
    <x v="1"/>
    <n v="9600"/>
    <x v="1"/>
    <n v="41"/>
    <s v="High Spender"/>
    <s v="Less active"/>
  </r>
  <r>
    <s v="CUST099"/>
    <s v="Tamil Mani"/>
    <x v="31"/>
    <s v="Male"/>
    <s v="Mumbai"/>
    <s v="Maharashtra"/>
    <s v="tamil86@gmail.com"/>
    <s v="9510842904"/>
    <d v="2022-04-16T00:00:00"/>
    <s v="Gold"/>
    <n v="8"/>
    <n v="100603.5"/>
    <x v="0"/>
    <n v="12575.4375"/>
    <x v="1"/>
    <n v="49"/>
    <s v="High Spender"/>
    <s v="Less active"/>
  </r>
  <r>
    <s v="CUST100"/>
    <s v="Tamil Selvam"/>
    <x v="31"/>
    <s v="Female"/>
    <s v="Hosur"/>
    <s v="Tamil Nadu"/>
    <s v="tamil61@gmail.com"/>
    <s v="9706016341"/>
    <d v="2022-03-22T00:00:00"/>
    <s v="Gold"/>
    <n v="3"/>
    <n v="6816"/>
    <x v="0"/>
    <n v="2272"/>
    <x v="0"/>
    <n v="50"/>
    <s v="Medium Spender"/>
    <s v="Less active"/>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PROD001"/>
    <x v="0"/>
    <x v="0"/>
    <n v="45000"/>
    <n v="26654.98"/>
    <n v="40.799999999999997"/>
    <s v="Lenovo"/>
    <n v="3.3"/>
    <n v="253"/>
    <n v="36"/>
    <n v="18345.02"/>
    <x v="0"/>
    <x v="0"/>
    <s v="Average"/>
    <n v="4641290.0600000005"/>
  </r>
  <r>
    <s v="PROD002"/>
    <x v="1"/>
    <x v="0"/>
    <n v="28000"/>
    <n v="18168.79"/>
    <n v="35.1"/>
    <s v="Samsung"/>
    <n v="3.5"/>
    <n v="493"/>
    <n v="68"/>
    <n v="9831.2099999999991"/>
    <x v="1"/>
    <x v="0"/>
    <s v="Average"/>
    <n v="4846786.5299999993"/>
  </r>
  <r>
    <s v="PROD003"/>
    <x v="2"/>
    <x v="0"/>
    <n v="18000"/>
    <n v="9658.5300000000007"/>
    <n v="46.3"/>
    <s v="Apple"/>
    <n v="3.9"/>
    <n v="42"/>
    <n v="27"/>
    <n v="8341.4699999999993"/>
    <x v="2"/>
    <x v="0"/>
    <s v="Average"/>
    <n v="350341.74"/>
  </r>
  <r>
    <s v="PROD004"/>
    <x v="3"/>
    <x v="0"/>
    <n v="2500"/>
    <n v="1394.72"/>
    <n v="44.2"/>
    <s v="Sony"/>
    <n v="4.8"/>
    <n v="144"/>
    <n v="67"/>
    <n v="1105.28"/>
    <x v="3"/>
    <x v="0"/>
    <s v="Excellent"/>
    <n v="159160.32000000001"/>
  </r>
  <r>
    <s v="PROD005"/>
    <x v="4"/>
    <x v="0"/>
    <n v="3500"/>
    <n v="2236.2800000000002"/>
    <n v="36.1"/>
    <s v="Lenovo"/>
    <n v="4"/>
    <n v="235"/>
    <n v="28"/>
    <n v="1263.7199999999998"/>
    <x v="4"/>
    <x v="0"/>
    <s v="Excellent"/>
    <n v="296974.19999999995"/>
  </r>
  <r>
    <s v="PROD006"/>
    <x v="5"/>
    <x v="0"/>
    <n v="22000"/>
    <n v="14640.2"/>
    <n v="33.5"/>
    <s v="OnePlus"/>
    <n v="3.5"/>
    <n v="397"/>
    <n v="48"/>
    <n v="7359.7999999999993"/>
    <x v="5"/>
    <x v="0"/>
    <s v="Average"/>
    <n v="2921840.5999999996"/>
  </r>
  <r>
    <s v="PROD007"/>
    <x v="6"/>
    <x v="0"/>
    <n v="8000"/>
    <n v="5315.3"/>
    <n v="33.6"/>
    <s v="Boat"/>
    <n v="4.7"/>
    <n v="492"/>
    <n v="39"/>
    <n v="2684.7"/>
    <x v="6"/>
    <x v="0"/>
    <s v="Excellent"/>
    <n v="1320872.3999999999"/>
  </r>
  <r>
    <s v="PROD008"/>
    <x v="7"/>
    <x v="0"/>
    <n v="2200"/>
    <n v="1394.43"/>
    <n v="36.6"/>
    <s v="Samsung"/>
    <n v="3.5"/>
    <n v="238"/>
    <n v="40"/>
    <n v="805.56999999999994"/>
    <x v="7"/>
    <x v="0"/>
    <s v="Average"/>
    <n v="191725.65999999997"/>
  </r>
  <r>
    <s v="PROD009"/>
    <x v="8"/>
    <x v="0"/>
    <n v="1200"/>
    <n v="699.34"/>
    <n v="41.7"/>
    <s v="MI"/>
    <n v="3.8"/>
    <n v="471"/>
    <n v="32"/>
    <n v="500.65999999999997"/>
    <x v="8"/>
    <x v="0"/>
    <s v="Average"/>
    <n v="235810.86"/>
  </r>
  <r>
    <s v="PROD010"/>
    <x v="9"/>
    <x v="0"/>
    <n v="900"/>
    <n v="543.96"/>
    <n v="39.6"/>
    <s v="OnePlus"/>
    <n v="3.7"/>
    <n v="401"/>
    <n v="36"/>
    <n v="356.03999999999996"/>
    <x v="9"/>
    <x v="0"/>
    <s v="Average"/>
    <n v="142772.03999999998"/>
  </r>
  <r>
    <s v="PROD011"/>
    <x v="10"/>
    <x v="1"/>
    <n v="1200"/>
    <n v="636.22"/>
    <n v="47"/>
    <s v="Van Heusen"/>
    <n v="3.5"/>
    <n v="119"/>
    <n v="21"/>
    <n v="563.78"/>
    <x v="10"/>
    <x v="0"/>
    <s v="Average"/>
    <n v="67089.819999999992"/>
  </r>
  <r>
    <s v="PROD012"/>
    <x v="11"/>
    <x v="1"/>
    <n v="850"/>
    <n v="506.5"/>
    <n v="40.4"/>
    <s v="Van Heusen"/>
    <n v="4.9000000000000004"/>
    <n v="367"/>
    <n v="57"/>
    <n v="343.5"/>
    <x v="11"/>
    <x v="0"/>
    <s v="Excellent"/>
    <n v="126064.5"/>
  </r>
  <r>
    <s v="PROD013"/>
    <x v="12"/>
    <x v="1"/>
    <n v="1600"/>
    <n v="899.5"/>
    <n v="43.8"/>
    <s v="Biba"/>
    <n v="4.8"/>
    <n v="230"/>
    <n v="71"/>
    <n v="700.5"/>
    <x v="12"/>
    <x v="0"/>
    <s v="Excellent"/>
    <n v="161115"/>
  </r>
  <r>
    <s v="PROD014"/>
    <x v="13"/>
    <x v="1"/>
    <n v="2800"/>
    <n v="2001.36"/>
    <n v="28.5"/>
    <s v="Biba"/>
    <n v="4.5999999999999996"/>
    <n v="176"/>
    <n v="60"/>
    <n v="798.6400000000001"/>
    <x v="13"/>
    <x v="0"/>
    <s v="Excellent"/>
    <n v="140560.64000000001"/>
  </r>
  <r>
    <s v="PROD015"/>
    <x v="14"/>
    <x v="1"/>
    <n v="3500"/>
    <n v="2191.94"/>
    <n v="37.4"/>
    <s v="Biba"/>
    <n v="4.0999999999999996"/>
    <n v="188"/>
    <n v="27"/>
    <n v="1308.06"/>
    <x v="14"/>
    <x v="0"/>
    <s v="Excellent"/>
    <n v="245915.28"/>
  </r>
  <r>
    <s v="PROD016"/>
    <x v="15"/>
    <x v="1"/>
    <n v="699"/>
    <n v="496.73"/>
    <n v="28.9"/>
    <s v="Peter England"/>
    <n v="4.4000000000000004"/>
    <n v="29"/>
    <n v="55"/>
    <n v="202.26999999999998"/>
    <x v="15"/>
    <x v="1"/>
    <s v="Excellent"/>
    <n v="5865.83"/>
  </r>
  <r>
    <s v="PROD017"/>
    <x v="16"/>
    <x v="1"/>
    <n v="1400"/>
    <n v="903.32"/>
    <n v="35.5"/>
    <s v="Van Heusen"/>
    <n v="3.8"/>
    <n v="261"/>
    <n v="36"/>
    <n v="496.67999999999995"/>
    <x v="16"/>
    <x v="0"/>
    <s v="Average"/>
    <n v="129633.47999999998"/>
  </r>
  <r>
    <s v="PROD018"/>
    <x v="17"/>
    <x v="1"/>
    <n v="1100"/>
    <n v="656.86"/>
    <n v="40.299999999999997"/>
    <s v="W"/>
    <n v="3.6"/>
    <n v="393"/>
    <n v="25"/>
    <n v="443.14"/>
    <x v="17"/>
    <x v="0"/>
    <s v="Average"/>
    <n v="174154.02"/>
  </r>
  <r>
    <s v="PROD019"/>
    <x v="18"/>
    <x v="1"/>
    <n v="499"/>
    <n v="329.82"/>
    <n v="33.9"/>
    <s v="Biba"/>
    <n v="3.3"/>
    <n v="283"/>
    <n v="38"/>
    <n v="169.18"/>
    <x v="18"/>
    <x v="0"/>
    <s v="Average"/>
    <n v="47877.94"/>
  </r>
  <r>
    <s v="PROD020"/>
    <x v="19"/>
    <x v="1"/>
    <n v="799"/>
    <n v="559.64"/>
    <n v="30"/>
    <s v="W"/>
    <n v="3.6"/>
    <n v="419"/>
    <n v="43"/>
    <n v="239.36"/>
    <x v="19"/>
    <x v="0"/>
    <s v="Average"/>
    <n v="100291.84000000001"/>
  </r>
  <r>
    <s v="PROD021"/>
    <x v="20"/>
    <x v="2"/>
    <n v="320"/>
    <n v="220.91"/>
    <n v="31"/>
    <s v="Dabur"/>
    <n v="4.3"/>
    <n v="126"/>
    <n v="72"/>
    <n v="99.09"/>
    <x v="20"/>
    <x v="0"/>
    <s v="Excellent"/>
    <n v="12485.34"/>
  </r>
  <r>
    <s v="PROD022"/>
    <x v="21"/>
    <x v="2"/>
    <n v="160"/>
    <n v="80.400000000000006"/>
    <n v="49.7"/>
    <s v="Tata"/>
    <n v="3.4"/>
    <n v="89"/>
    <n v="53"/>
    <n v="79.599999999999994"/>
    <x v="21"/>
    <x v="0"/>
    <s v="Average"/>
    <n v="7084.4"/>
  </r>
  <r>
    <s v="PROD023"/>
    <x v="22"/>
    <x v="2"/>
    <n v="450"/>
    <n v="305.29000000000002"/>
    <n v="32.200000000000003"/>
    <s v="Tata"/>
    <n v="4.4000000000000004"/>
    <n v="49"/>
    <n v="55"/>
    <n v="144.70999999999998"/>
    <x v="22"/>
    <x v="1"/>
    <s v="Excellent"/>
    <n v="7090.7899999999991"/>
  </r>
  <r>
    <s v="PROD024"/>
    <x v="23"/>
    <x v="2"/>
    <n v="130"/>
    <n v="80.680000000000007"/>
    <n v="37.9"/>
    <s v="Nescafe"/>
    <n v="3.9"/>
    <n v="73"/>
    <n v="31"/>
    <n v="49.319999999999993"/>
    <x v="23"/>
    <x v="0"/>
    <s v="Average"/>
    <n v="3600.3599999999997"/>
  </r>
  <r>
    <s v="PROD025"/>
    <x v="24"/>
    <x v="2"/>
    <n v="55"/>
    <n v="36.78"/>
    <n v="33.1"/>
    <s v="Aashirvaad"/>
    <n v="4.0999999999999996"/>
    <n v="418"/>
    <n v="80"/>
    <n v="18.22"/>
    <x v="24"/>
    <x v="0"/>
    <s v="Excellent"/>
    <n v="7615.9599999999991"/>
  </r>
  <r>
    <s v="PROD026"/>
    <x v="25"/>
    <x v="2"/>
    <n v="40"/>
    <n v="22.71"/>
    <n v="43.2"/>
    <s v="Saffola"/>
    <n v="4.5999999999999996"/>
    <n v="341"/>
    <n v="21"/>
    <n v="17.29"/>
    <x v="25"/>
    <x v="0"/>
    <s v="Excellent"/>
    <n v="5895.8899999999994"/>
  </r>
  <r>
    <s v="PROD027"/>
    <x v="26"/>
    <x v="2"/>
    <n v="220"/>
    <n v="119.62"/>
    <n v="45.6"/>
    <s v="Dabur"/>
    <n v="3.7"/>
    <n v="325"/>
    <n v="74"/>
    <n v="100.38"/>
    <x v="26"/>
    <x v="0"/>
    <s v="Average"/>
    <n v="32623.5"/>
  </r>
  <r>
    <s v="PROD028"/>
    <x v="27"/>
    <x v="2"/>
    <n v="180"/>
    <n v="93.39"/>
    <n v="48.1"/>
    <s v="Aashirvaad"/>
    <n v="3.9"/>
    <n v="213"/>
    <n v="36"/>
    <n v="86.61"/>
    <x v="27"/>
    <x v="0"/>
    <s v="Average"/>
    <n v="18447.93"/>
  </r>
  <r>
    <s v="PROD029"/>
    <x v="28"/>
    <x v="2"/>
    <n v="280"/>
    <n v="196.52"/>
    <n v="29.8"/>
    <s v="Aashirvaad"/>
    <n v="4.5"/>
    <n v="500"/>
    <n v="50"/>
    <n v="83.47999999999999"/>
    <x v="28"/>
    <x v="0"/>
    <s v="Excellent"/>
    <n v="41739.999999999993"/>
  </r>
  <r>
    <s v="PROD030"/>
    <x v="29"/>
    <x v="2"/>
    <n v="350"/>
    <n v="228.87"/>
    <n v="34.6"/>
    <s v="Aashirvaad"/>
    <n v="4"/>
    <n v="482"/>
    <n v="51"/>
    <n v="121.13"/>
    <x v="29"/>
    <x v="0"/>
    <s v="Excellent"/>
    <n v="58384.659999999996"/>
  </r>
  <r>
    <s v="PROD031"/>
    <x v="30"/>
    <x v="3"/>
    <n v="2800"/>
    <n v="1879.62"/>
    <n v="32.9"/>
    <s v="Pigeon"/>
    <n v="3.4"/>
    <n v="445"/>
    <n v="58"/>
    <n v="920.38000000000011"/>
    <x v="30"/>
    <x v="0"/>
    <s v="Average"/>
    <n v="409569.10000000003"/>
  </r>
  <r>
    <s v="PROD032"/>
    <x v="31"/>
    <x v="3"/>
    <n v="1500"/>
    <n v="1051.6500000000001"/>
    <n v="29.9"/>
    <s v="Borosil"/>
    <n v="4.0999999999999996"/>
    <n v="435"/>
    <n v="54"/>
    <n v="448.34999999999991"/>
    <x v="31"/>
    <x v="0"/>
    <s v="Excellent"/>
    <n v="195032.24999999997"/>
  </r>
  <r>
    <s v="PROD033"/>
    <x v="32"/>
    <x v="3"/>
    <n v="850"/>
    <n v="580.24"/>
    <n v="31.7"/>
    <s v="Pigeon"/>
    <n v="4.5999999999999996"/>
    <n v="282"/>
    <n v="53"/>
    <n v="269.76"/>
    <x v="32"/>
    <x v="0"/>
    <s v="Excellent"/>
    <n v="76072.319999999992"/>
  </r>
  <r>
    <s v="PROD034"/>
    <x v="33"/>
    <x v="3"/>
    <n v="9500"/>
    <n v="5047.7"/>
    <n v="46.9"/>
    <s v="Borosil"/>
    <n v="4.2"/>
    <n v="302"/>
    <n v="66"/>
    <n v="4452.3"/>
    <x v="33"/>
    <x v="0"/>
    <s v="Excellent"/>
    <n v="1344594.6"/>
  </r>
  <r>
    <s v="PROD035"/>
    <x v="34"/>
    <x v="3"/>
    <n v="1800"/>
    <n v="942.23"/>
    <n v="47.7"/>
    <s v="Inalsa"/>
    <n v="3.6"/>
    <n v="153"/>
    <n v="39"/>
    <n v="857.77"/>
    <x v="34"/>
    <x v="0"/>
    <s v="Average"/>
    <n v="131238.81"/>
  </r>
  <r>
    <s v="PROD036"/>
    <x v="35"/>
    <x v="3"/>
    <n v="2200"/>
    <n v="1347.05"/>
    <n v="38.799999999999997"/>
    <s v="Milton"/>
    <n v="3.7"/>
    <n v="332"/>
    <n v="80"/>
    <n v="852.95"/>
    <x v="35"/>
    <x v="0"/>
    <s v="Average"/>
    <n v="283179.40000000002"/>
  </r>
  <r>
    <s v="PROD037"/>
    <x v="36"/>
    <x v="3"/>
    <n v="4500"/>
    <n v="2905.5"/>
    <n v="35.4"/>
    <s v="Kent"/>
    <n v="4.2"/>
    <n v="356"/>
    <n v="52"/>
    <n v="1594.5"/>
    <x v="36"/>
    <x v="0"/>
    <s v="Excellent"/>
    <n v="567642"/>
  </r>
  <r>
    <s v="PROD038"/>
    <x v="37"/>
    <x v="3"/>
    <n v="350"/>
    <n v="201.16"/>
    <n v="42.5"/>
    <s v="Borosil"/>
    <n v="3.4"/>
    <n v="417"/>
    <n v="47"/>
    <n v="148.84"/>
    <x v="37"/>
    <x v="0"/>
    <s v="Average"/>
    <n v="62066.28"/>
  </r>
  <r>
    <s v="PROD039"/>
    <x v="38"/>
    <x v="3"/>
    <n v="280"/>
    <n v="145.88"/>
    <n v="47.9"/>
    <s v="Prestige"/>
    <n v="3.3"/>
    <n v="223"/>
    <n v="23"/>
    <n v="134.12"/>
    <x v="38"/>
    <x v="0"/>
    <s v="Average"/>
    <n v="29908.760000000002"/>
  </r>
  <r>
    <s v="PROD040"/>
    <x v="39"/>
    <x v="3"/>
    <n v="650"/>
    <n v="464.2"/>
    <n v="28.6"/>
    <s v="Prestige"/>
    <n v="4.5"/>
    <n v="149"/>
    <n v="71"/>
    <n v="185.8"/>
    <x v="39"/>
    <x v="0"/>
    <s v="Excellent"/>
    <n v="27684.2"/>
  </r>
  <r>
    <s v="PROD041"/>
    <x v="40"/>
    <x v="4"/>
    <n v="1800"/>
    <n v="1168.1300000000001"/>
    <n v="35.1"/>
    <s v="Strauss"/>
    <n v="4.4000000000000004"/>
    <n v="47"/>
    <n v="23"/>
    <n v="631.86999999999989"/>
    <x v="40"/>
    <x v="0"/>
    <s v="Excellent"/>
    <n v="29697.889999999996"/>
  </r>
  <r>
    <s v="PROD042"/>
    <x v="41"/>
    <x v="4"/>
    <n v="800"/>
    <n v="441.38"/>
    <n v="44.8"/>
    <s v="Decathlon"/>
    <n v="4.0999999999999996"/>
    <n v="497"/>
    <n v="37"/>
    <n v="358.62"/>
    <x v="41"/>
    <x v="0"/>
    <s v="Excellent"/>
    <n v="178234.14"/>
  </r>
  <r>
    <s v="PROD043"/>
    <x v="42"/>
    <x v="4"/>
    <n v="650"/>
    <n v="369.22"/>
    <n v="43.2"/>
    <s v="Boldfit"/>
    <n v="4.5"/>
    <n v="257"/>
    <n v="42"/>
    <n v="280.77999999999997"/>
    <x v="42"/>
    <x v="0"/>
    <s v="Excellent"/>
    <n v="72160.459999999992"/>
  </r>
  <r>
    <s v="PROD044"/>
    <x v="43"/>
    <x v="4"/>
    <n v="950"/>
    <n v="682.52"/>
    <n v="28.2"/>
    <s v="Li-Ning"/>
    <n v="4.4000000000000004"/>
    <n v="403"/>
    <n v="52"/>
    <n v="267.48"/>
    <x v="43"/>
    <x v="0"/>
    <s v="Excellent"/>
    <n v="107794.44"/>
  </r>
  <r>
    <s v="PROD045"/>
    <x v="44"/>
    <x v="4"/>
    <n v="1200"/>
    <n v="618.82000000000005"/>
    <n v="48.4"/>
    <s v="Cosco"/>
    <n v="4.8"/>
    <n v="162"/>
    <n v="40"/>
    <n v="581.17999999999995"/>
    <x v="44"/>
    <x v="0"/>
    <s v="Excellent"/>
    <n v="94151.159999999989"/>
  </r>
  <r>
    <s v="PROD046"/>
    <x v="45"/>
    <x v="4"/>
    <n v="450"/>
    <n v="282.61"/>
    <n v="37.200000000000003"/>
    <s v="Decathlon"/>
    <n v="4.3"/>
    <n v="359"/>
    <n v="72"/>
    <n v="167.39"/>
    <x v="45"/>
    <x v="0"/>
    <s v="Excellent"/>
    <n v="60093.009999999995"/>
  </r>
  <r>
    <s v="PROD047"/>
    <x v="46"/>
    <x v="4"/>
    <n v="1100"/>
    <n v="767.85"/>
    <n v="30.2"/>
    <s v="Li-Ning"/>
    <n v="3.3"/>
    <n v="425"/>
    <n v="70"/>
    <n v="332.15"/>
    <x v="46"/>
    <x v="0"/>
    <s v="Average"/>
    <n v="141163.75"/>
  </r>
  <r>
    <s v="PROD048"/>
    <x v="47"/>
    <x v="4"/>
    <n v="250"/>
    <n v="149.19999999999999"/>
    <n v="40.299999999999997"/>
    <s v="Strauss"/>
    <n v="4.0999999999999996"/>
    <n v="301"/>
    <n v="77"/>
    <n v="100.80000000000001"/>
    <x v="47"/>
    <x v="0"/>
    <s v="Excellent"/>
    <n v="30340.800000000003"/>
  </r>
  <r>
    <s v="PROD049"/>
    <x v="48"/>
    <x v="4"/>
    <n v="2800"/>
    <n v="1410.65"/>
    <n v="49.6"/>
    <s v="Li-Ning"/>
    <n v="3.9"/>
    <n v="286"/>
    <n v="36"/>
    <n v="1389.35"/>
    <x v="48"/>
    <x v="0"/>
    <s v="Average"/>
    <n v="397354.1"/>
  </r>
  <r>
    <s v="PROD050"/>
    <x v="49"/>
    <x v="4"/>
    <n v="550"/>
    <n v="328.93"/>
    <n v="40.200000000000003"/>
    <s v="Nivia"/>
    <n v="4.5"/>
    <n v="265"/>
    <n v="59"/>
    <n v="221.07"/>
    <x v="49"/>
    <x v="0"/>
    <s v="Excellent"/>
    <n v="58583.549999999996"/>
  </r>
  <r>
    <s v="PROD051"/>
    <x v="50"/>
    <x v="5"/>
    <n v="180"/>
    <n v="116.91"/>
    <n v="35.1"/>
    <s v="Lakme"/>
    <n v="4.5"/>
    <n v="403"/>
    <n v="80"/>
    <n v="63.09"/>
    <x v="50"/>
    <x v="0"/>
    <s v="Excellent"/>
    <n v="25425.27"/>
  </r>
  <r>
    <s v="PROD052"/>
    <x v="51"/>
    <x v="5"/>
    <n v="320"/>
    <n v="203.85"/>
    <n v="36.299999999999997"/>
    <s v="Nivea"/>
    <n v="4.5"/>
    <n v="251"/>
    <n v="24"/>
    <n v="116.15"/>
    <x v="51"/>
    <x v="0"/>
    <s v="Excellent"/>
    <n v="29153.65"/>
  </r>
  <r>
    <s v="PROD053"/>
    <x v="52"/>
    <x v="5"/>
    <n v="220"/>
    <n v="113.47"/>
    <n v="48.4"/>
    <s v="Biotique"/>
    <n v="4.3"/>
    <n v="171"/>
    <n v="50"/>
    <n v="106.53"/>
    <x v="52"/>
    <x v="0"/>
    <s v="Excellent"/>
    <n v="18216.63"/>
  </r>
  <r>
    <s v="PROD054"/>
    <x v="53"/>
    <x v="5"/>
    <n v="140"/>
    <n v="96.67"/>
    <n v="30.9"/>
    <s v="Garnier"/>
    <n v="3.7"/>
    <n v="146"/>
    <n v="38"/>
    <n v="43.33"/>
    <x v="53"/>
    <x v="0"/>
    <s v="Average"/>
    <n v="6326.1799999999994"/>
  </r>
  <r>
    <s v="PROD055"/>
    <x v="54"/>
    <x v="5"/>
    <n v="280"/>
    <n v="193.21"/>
    <n v="31"/>
    <s v="Biotique"/>
    <n v="4.5999999999999996"/>
    <n v="55"/>
    <n v="47"/>
    <n v="86.789999999999992"/>
    <x v="54"/>
    <x v="0"/>
    <s v="Excellent"/>
    <n v="4773.45"/>
  </r>
  <r>
    <s v="PROD056"/>
    <x v="55"/>
    <x v="5"/>
    <n v="650"/>
    <n v="348.26"/>
    <n v="46.4"/>
    <s v="Himalaya"/>
    <n v="4.7"/>
    <n v="481"/>
    <n v="65"/>
    <n v="301.74"/>
    <x v="55"/>
    <x v="0"/>
    <s v="Excellent"/>
    <n v="145136.94"/>
  </r>
  <r>
    <s v="PROD057"/>
    <x v="56"/>
    <x v="5"/>
    <n v="890"/>
    <n v="556.42999999999995"/>
    <n v="37.5"/>
    <s v="Biotique"/>
    <n v="4.2"/>
    <n v="289"/>
    <n v="60"/>
    <n v="333.57000000000005"/>
    <x v="56"/>
    <x v="0"/>
    <s v="Excellent"/>
    <n v="96401.73000000001"/>
  </r>
  <r>
    <s v="PROD058"/>
    <x v="57"/>
    <x v="5"/>
    <n v="260"/>
    <n v="151.97"/>
    <n v="41.5"/>
    <s v="Loreal"/>
    <n v="3.3"/>
    <n v="353"/>
    <n v="35"/>
    <n v="108.03"/>
    <x v="57"/>
    <x v="0"/>
    <s v="Average"/>
    <n v="38134.590000000004"/>
  </r>
  <r>
    <s v="PROD059"/>
    <x v="58"/>
    <x v="5"/>
    <n v="1200"/>
    <n v="749.87"/>
    <n v="37.5"/>
    <s v="Nivea"/>
    <n v="3.5"/>
    <n v="85"/>
    <n v="57"/>
    <n v="450.13"/>
    <x v="58"/>
    <x v="0"/>
    <s v="Average"/>
    <n v="38261.050000000003"/>
  </r>
  <r>
    <s v="PROD060"/>
    <x v="59"/>
    <x v="5"/>
    <n v="380"/>
    <n v="226.56"/>
    <n v="40.4"/>
    <s v="Biotique"/>
    <n v="3.7"/>
    <n v="316"/>
    <n v="71"/>
    <n v="153.44"/>
    <x v="59"/>
    <x v="0"/>
    <s v="Average"/>
    <n v="48487.040000000001"/>
  </r>
  <r>
    <s v="PROD061"/>
    <x v="60"/>
    <x v="6"/>
    <n v="599"/>
    <n v="424.44"/>
    <n v="29.1"/>
    <s v="Pearson"/>
    <n v="4.5999999999999996"/>
    <n v="22"/>
    <n v="56"/>
    <n v="174.56"/>
    <x v="60"/>
    <x v="1"/>
    <s v="Excellent"/>
    <n v="3840.32"/>
  </r>
  <r>
    <s v="PROD062"/>
    <x v="61"/>
    <x v="6"/>
    <n v="449"/>
    <n v="259.20999999999998"/>
    <n v="42.3"/>
    <s v="Luxor"/>
    <n v="4.7"/>
    <n v="137"/>
    <n v="48"/>
    <n v="189.79000000000002"/>
    <x v="61"/>
    <x v="0"/>
    <s v="Excellent"/>
    <n v="26001.230000000003"/>
  </r>
  <r>
    <s v="PROD063"/>
    <x v="62"/>
    <x v="6"/>
    <n v="520"/>
    <n v="320.26"/>
    <n v="38.4"/>
    <s v="Reynolds"/>
    <n v="4.3"/>
    <n v="253"/>
    <n v="68"/>
    <n v="199.74"/>
    <x v="62"/>
    <x v="0"/>
    <s v="Excellent"/>
    <n v="50534.22"/>
  </r>
  <r>
    <s v="PROD064"/>
    <x v="63"/>
    <x v="6"/>
    <n v="380"/>
    <n v="210.32"/>
    <n v="44.7"/>
    <s v="Penguin"/>
    <n v="4.5"/>
    <n v="129"/>
    <n v="35"/>
    <n v="169.68"/>
    <x v="63"/>
    <x v="0"/>
    <s v="Excellent"/>
    <n v="21888.720000000001"/>
  </r>
  <r>
    <s v="PROD065"/>
    <x v="64"/>
    <x v="6"/>
    <n v="350"/>
    <n v="199.41"/>
    <n v="43"/>
    <s v="Pearson"/>
    <n v="3.2"/>
    <n v="374"/>
    <n v="69"/>
    <n v="150.59"/>
    <x v="64"/>
    <x v="0"/>
    <s v="Average"/>
    <n v="56320.66"/>
  </r>
  <r>
    <s v="PROD066"/>
    <x v="65"/>
    <x v="6"/>
    <n v="220"/>
    <n v="113.39"/>
    <n v="48.5"/>
    <s v="Cello"/>
    <n v="3.8"/>
    <n v="446"/>
    <n v="25"/>
    <n v="106.61"/>
    <x v="65"/>
    <x v="0"/>
    <s v="Average"/>
    <n v="47548.06"/>
  </r>
  <r>
    <s v="PROD067"/>
    <x v="66"/>
    <x v="6"/>
    <n v="85"/>
    <n v="48.91"/>
    <n v="42.5"/>
    <s v="Casio"/>
    <n v="3.4"/>
    <n v="63"/>
    <n v="37"/>
    <n v="36.090000000000003"/>
    <x v="66"/>
    <x v="0"/>
    <s v="Average"/>
    <n v="2273.67"/>
  </r>
  <r>
    <s v="PROD068"/>
    <x v="67"/>
    <x v="6"/>
    <n v="750"/>
    <n v="472.76"/>
    <n v="37"/>
    <s v="Reynolds"/>
    <n v="3.5"/>
    <n v="412"/>
    <n v="61"/>
    <n v="277.24"/>
    <x v="67"/>
    <x v="0"/>
    <s v="Average"/>
    <n v="114222.88"/>
  </r>
  <r>
    <s v="PROD069"/>
    <x v="68"/>
    <x v="6"/>
    <n v="120"/>
    <n v="65.88"/>
    <n v="45.1"/>
    <s v="Luxor"/>
    <n v="4.5999999999999996"/>
    <n v="423"/>
    <n v="35"/>
    <n v="54.120000000000005"/>
    <x v="68"/>
    <x v="0"/>
    <s v="Excellent"/>
    <n v="22892.760000000002"/>
  </r>
  <r>
    <s v="PROD070"/>
    <x v="69"/>
    <x v="6"/>
    <n v="180"/>
    <n v="114.74"/>
    <n v="36.299999999999997"/>
    <s v="Casio"/>
    <n v="3.4"/>
    <n v="111"/>
    <n v="61"/>
    <n v="65.260000000000005"/>
    <x v="69"/>
    <x v="0"/>
    <s v="Average"/>
    <n v="7243.8600000000006"/>
  </r>
  <r>
    <s v="PROD071"/>
    <x v="70"/>
    <x v="7"/>
    <n v="1800"/>
    <n v="1185.4000000000001"/>
    <n v="34.1"/>
    <s v="Disney"/>
    <n v="3.5"/>
    <n v="227"/>
    <n v="30"/>
    <n v="614.59999999999991"/>
    <x v="70"/>
    <x v="0"/>
    <s v="Average"/>
    <n v="139514.19999999998"/>
  </r>
  <r>
    <s v="PROD072"/>
    <x v="71"/>
    <x v="7"/>
    <n v="1200"/>
    <n v="721.11"/>
    <n v="39.9"/>
    <s v="Fisher-Price"/>
    <n v="4"/>
    <n v="98"/>
    <n v="21"/>
    <n v="478.89"/>
    <x v="71"/>
    <x v="0"/>
    <s v="Excellent"/>
    <n v="46931.22"/>
  </r>
  <r>
    <s v="PROD073"/>
    <x v="72"/>
    <x v="7"/>
    <n v="950"/>
    <n v="594.29999999999995"/>
    <n v="37.4"/>
    <s v="Funskool"/>
    <n v="3.5"/>
    <n v="340"/>
    <n v="34"/>
    <n v="355.70000000000005"/>
    <x v="72"/>
    <x v="0"/>
    <s v="Average"/>
    <n v="120938.00000000001"/>
  </r>
  <r>
    <s v="PROD074"/>
    <x v="73"/>
    <x v="7"/>
    <n v="450"/>
    <n v="294.85000000000002"/>
    <n v="34.5"/>
    <s v="Lego"/>
    <n v="3.9"/>
    <n v="440"/>
    <n v="54"/>
    <n v="155.14999999999998"/>
    <x v="73"/>
    <x v="0"/>
    <s v="Average"/>
    <n v="68265.999999999985"/>
  </r>
  <r>
    <s v="PROD075"/>
    <x v="74"/>
    <x v="7"/>
    <n v="800"/>
    <n v="518.79999999999995"/>
    <n v="35.200000000000003"/>
    <s v="Fisher-Price"/>
    <n v="4.2"/>
    <n v="58"/>
    <n v="66"/>
    <n v="281.20000000000005"/>
    <x v="74"/>
    <x v="1"/>
    <s v="Excellent"/>
    <n v="16309.600000000002"/>
  </r>
  <r>
    <s v="PROD076"/>
    <x v="75"/>
    <x v="7"/>
    <n v="2200"/>
    <n v="1240.57"/>
    <n v="43.6"/>
    <s v="Playgro"/>
    <n v="4"/>
    <n v="456"/>
    <n v="37"/>
    <n v="959.43000000000006"/>
    <x v="75"/>
    <x v="0"/>
    <s v="Excellent"/>
    <n v="437500.08"/>
  </r>
  <r>
    <s v="PROD077"/>
    <x v="76"/>
    <x v="7"/>
    <n v="350"/>
    <n v="241.23"/>
    <n v="31.1"/>
    <s v="Playgro"/>
    <n v="3.3"/>
    <n v="409"/>
    <n v="77"/>
    <n v="108.77000000000001"/>
    <x v="76"/>
    <x v="0"/>
    <s v="Average"/>
    <n v="44486.930000000008"/>
  </r>
  <r>
    <s v="PROD078"/>
    <x v="77"/>
    <x v="7"/>
    <n v="280"/>
    <n v="186.99"/>
    <n v="33.200000000000003"/>
    <s v="Funskool"/>
    <n v="3.4"/>
    <n v="433"/>
    <n v="72"/>
    <n v="93.009999999999991"/>
    <x v="77"/>
    <x v="0"/>
    <s v="Average"/>
    <n v="40273.329999999994"/>
  </r>
  <r>
    <s v="PROD079"/>
    <x v="78"/>
    <x v="7"/>
    <n v="380"/>
    <n v="240.1"/>
    <n v="36.799999999999997"/>
    <s v="Hasbro"/>
    <n v="3.7"/>
    <n v="482"/>
    <n v="44"/>
    <n v="139.9"/>
    <x v="78"/>
    <x v="0"/>
    <s v="Average"/>
    <n v="67431.8"/>
  </r>
  <r>
    <s v="PROD080"/>
    <x v="79"/>
    <x v="7"/>
    <n v="320"/>
    <n v="218.01"/>
    <n v="31.9"/>
    <s v="Playgro"/>
    <n v="3.8"/>
    <n v="222"/>
    <n v="59"/>
    <n v="101.99000000000001"/>
    <x v="79"/>
    <x v="0"/>
    <s v="Average"/>
    <n v="22641.78000000000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s v="Active Customers"/>
    <x v="0"/>
    <n v="304"/>
  </r>
  <r>
    <s v="Loyal Customers"/>
    <x v="0"/>
    <n v="196"/>
  </r>
  <r>
    <s v="Premium Members"/>
    <x v="0"/>
    <n v="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28440B-2D8D-4CE7-92A4-F441869FD55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rowHeaderCaption="Category">
  <location ref="AC4:AD13" firstHeaderRow="1" firstDataRow="1" firstDataCol="1"/>
  <pivotFields count="23">
    <pivotField showAll="0"/>
    <pivotField numFmtId="164" showAll="0"/>
    <pivotField showAll="0"/>
    <pivotField showAll="0"/>
    <pivotField showAll="0">
      <items count="25">
        <item x="21"/>
        <item x="20"/>
        <item x="13"/>
        <item x="16"/>
        <item x="6"/>
        <item x="9"/>
        <item x="22"/>
        <item x="1"/>
        <item x="4"/>
        <item x="23"/>
        <item x="17"/>
        <item x="15"/>
        <item x="10"/>
        <item x="19"/>
        <item x="7"/>
        <item x="0"/>
        <item x="14"/>
        <item x="11"/>
        <item x="5"/>
        <item x="12"/>
        <item x="2"/>
        <item x="18"/>
        <item x="3"/>
        <item x="8"/>
        <item t="default"/>
      </items>
    </pivotField>
    <pivotField showAll="0"/>
    <pivotField axis="axisRow" showAll="0">
      <items count="9">
        <item x="1"/>
        <item x="7"/>
        <item x="4"/>
        <item x="5"/>
        <item x="3"/>
        <item x="6"/>
        <item x="0"/>
        <item x="2"/>
        <item t="default"/>
      </items>
    </pivotField>
    <pivotField showAll="0"/>
    <pivotField showAll="0"/>
    <pivotField showAll="0"/>
    <pivotField showAll="0"/>
    <pivotField dataField="1" showAll="0"/>
    <pivotField showAll="0">
      <items count="7">
        <item x="1"/>
        <item x="5"/>
        <item x="0"/>
        <item x="3"/>
        <item x="2"/>
        <item x="4"/>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Sum of Final_Price" fld="11" baseField="0" baseItem="0"/>
  </dataFields>
  <chartFormats count="9">
    <chartFormat chart="21" format="6" series="1">
      <pivotArea type="data" outline="0" fieldPosition="0">
        <references count="1">
          <reference field="4294967294" count="1" selected="0">
            <x v="0"/>
          </reference>
        </references>
      </pivotArea>
    </chartFormat>
    <chartFormat chart="39" format="8" series="1">
      <pivotArea type="data" outline="0" fieldPosition="0">
        <references count="1">
          <reference field="4294967294" count="1" selected="0">
            <x v="0"/>
          </reference>
        </references>
      </pivotArea>
    </chartFormat>
    <chartFormat chart="39" format="9">
      <pivotArea type="data" outline="0" fieldPosition="0">
        <references count="2">
          <reference field="4294967294" count="1" selected="0">
            <x v="0"/>
          </reference>
          <reference field="6" count="1" selected="0">
            <x v="7"/>
          </reference>
        </references>
      </pivotArea>
    </chartFormat>
    <chartFormat chart="39" format="10">
      <pivotArea type="data" outline="0" fieldPosition="0">
        <references count="2">
          <reference field="4294967294" count="1" selected="0">
            <x v="0"/>
          </reference>
          <reference field="6" count="1" selected="0">
            <x v="6"/>
          </reference>
        </references>
      </pivotArea>
    </chartFormat>
    <chartFormat chart="39" format="11">
      <pivotArea type="data" outline="0" fieldPosition="0">
        <references count="2">
          <reference field="4294967294" count="1" selected="0">
            <x v="0"/>
          </reference>
          <reference field="6" count="1" selected="0">
            <x v="5"/>
          </reference>
        </references>
      </pivotArea>
    </chartFormat>
    <chartFormat chart="39" format="12">
      <pivotArea type="data" outline="0" fieldPosition="0">
        <references count="2">
          <reference field="4294967294" count="1" selected="0">
            <x v="0"/>
          </reference>
          <reference field="6" count="1" selected="0">
            <x v="3"/>
          </reference>
        </references>
      </pivotArea>
    </chartFormat>
    <chartFormat chart="39" format="13">
      <pivotArea type="data" outline="0" fieldPosition="0">
        <references count="2">
          <reference field="4294967294" count="1" selected="0">
            <x v="0"/>
          </reference>
          <reference field="6" count="1" selected="0">
            <x v="2"/>
          </reference>
        </references>
      </pivotArea>
    </chartFormat>
    <chartFormat chart="39" format="14">
      <pivotArea type="data" outline="0" fieldPosition="0">
        <references count="2">
          <reference field="4294967294" count="1" selected="0">
            <x v="0"/>
          </reference>
          <reference field="6" count="1" selected="0">
            <x v="1"/>
          </reference>
        </references>
      </pivotArea>
    </chartFormat>
    <chartFormat chart="39" format="15">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2DC622-245C-44F9-8442-B4FB6EF61AD8}"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Y58:Y60" firstHeaderRow="1" firstDataRow="1" firstDataCol="1"/>
  <pivotFields count="3">
    <pivotField showAll="0"/>
    <pivotField axis="axisRow" showAll="0">
      <items count="2">
        <item x="0"/>
        <item t="default"/>
      </items>
    </pivotField>
    <pivotField showAll="0"/>
  </pivotFields>
  <rowFields count="1">
    <field x="1"/>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11F97D-E22E-43F4-8308-702E7CC6D04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C26:AE51" firstHeaderRow="0" firstDataRow="1" firstDataCol="1"/>
  <pivotFields count="23">
    <pivotField showAll="0"/>
    <pivotField numFmtId="164" showAll="0"/>
    <pivotField showAll="0"/>
    <pivotField showAll="0"/>
    <pivotField axis="axisRow" showAll="0" sortType="descending">
      <items count="25">
        <item x="21"/>
        <item x="20"/>
        <item x="13"/>
        <item x="16"/>
        <item x="6"/>
        <item x="9"/>
        <item x="22"/>
        <item x="1"/>
        <item x="4"/>
        <item x="23"/>
        <item x="17"/>
        <item x="15"/>
        <item x="10"/>
        <item x="19"/>
        <item x="7"/>
        <item x="0"/>
        <item x="14"/>
        <item x="11"/>
        <item x="5"/>
        <item x="12"/>
        <item x="2"/>
        <item x="18"/>
        <item x="3"/>
        <item x="8"/>
        <item t="default"/>
      </items>
      <autoSortScope>
        <pivotArea dataOnly="0" outline="0" fieldPosition="0">
          <references count="1">
            <reference field="4294967294" count="1" selected="0">
              <x v="0"/>
            </reference>
          </references>
        </pivotArea>
      </autoSortScope>
    </pivotField>
    <pivotField showAll="0"/>
    <pivotField showAll="0">
      <items count="9">
        <item x="1"/>
        <item x="7"/>
        <item x="4"/>
        <item x="5"/>
        <item x="3"/>
        <item x="6"/>
        <item x="0"/>
        <item x="2"/>
        <item t="default"/>
      </items>
    </pivotField>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5">
    <i>
      <x v="13"/>
    </i>
    <i>
      <x v="6"/>
    </i>
    <i>
      <x v="10"/>
    </i>
    <i>
      <x v="8"/>
    </i>
    <i>
      <x v="22"/>
    </i>
    <i>
      <x v="20"/>
    </i>
    <i>
      <x v="3"/>
    </i>
    <i>
      <x/>
    </i>
    <i>
      <x v="14"/>
    </i>
    <i>
      <x v="9"/>
    </i>
    <i>
      <x v="7"/>
    </i>
    <i>
      <x v="21"/>
    </i>
    <i>
      <x v="18"/>
    </i>
    <i>
      <x v="1"/>
    </i>
    <i>
      <x v="4"/>
    </i>
    <i>
      <x v="19"/>
    </i>
    <i>
      <x v="5"/>
    </i>
    <i>
      <x v="23"/>
    </i>
    <i>
      <x v="15"/>
    </i>
    <i>
      <x v="2"/>
    </i>
    <i>
      <x v="11"/>
    </i>
    <i>
      <x v="16"/>
    </i>
    <i>
      <x v="17"/>
    </i>
    <i>
      <x v="12"/>
    </i>
    <i t="grand">
      <x/>
    </i>
  </rowItems>
  <colFields count="1">
    <field x="-2"/>
  </colFields>
  <colItems count="2">
    <i>
      <x/>
    </i>
    <i i="1">
      <x v="1"/>
    </i>
  </colItems>
  <dataFields count="2">
    <dataField name="Sum of Final_Price" fld="11" baseField="0" baseItem="0"/>
    <dataField name="Sum of Quantity" fld="8" baseField="0" baseItem="0"/>
  </dataField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0F92FB-EB3C-406A-8CD2-4D2B0DCD583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C16:AD23" firstHeaderRow="1" firstDataRow="1" firstDataCol="1"/>
  <pivotFields count="23">
    <pivotField showAll="0"/>
    <pivotField numFmtId="164" showAll="0"/>
    <pivotField showAll="0"/>
    <pivotField showAll="0"/>
    <pivotField showAll="0">
      <items count="25">
        <item x="21"/>
        <item x="20"/>
        <item x="13"/>
        <item x="16"/>
        <item x="6"/>
        <item x="9"/>
        <item x="22"/>
        <item x="1"/>
        <item x="4"/>
        <item x="23"/>
        <item x="17"/>
        <item x="15"/>
        <item x="10"/>
        <item x="19"/>
        <item x="7"/>
        <item x="0"/>
        <item x="14"/>
        <item x="11"/>
        <item x="5"/>
        <item x="12"/>
        <item x="2"/>
        <item x="18"/>
        <item x="3"/>
        <item x="8"/>
        <item t="default"/>
      </items>
    </pivotField>
    <pivotField showAll="0"/>
    <pivotField showAll="0">
      <items count="9">
        <item x="1"/>
        <item x="7"/>
        <item x="4"/>
        <item x="5"/>
        <item x="3"/>
        <item x="6"/>
        <item x="0"/>
        <item x="2"/>
        <item t="default"/>
      </items>
    </pivotField>
    <pivotField showAll="0"/>
    <pivotField showAll="0"/>
    <pivotField showAll="0"/>
    <pivotField showAll="0"/>
    <pivotField showAll="0"/>
    <pivotField axis="axisRow" showAll="0">
      <items count="7">
        <item x="1"/>
        <item x="5"/>
        <item x="0"/>
        <item x="3"/>
        <item x="2"/>
        <item x="4"/>
        <item t="default"/>
      </items>
    </pivotField>
    <pivotField dataField="1" showAll="0"/>
    <pivotField showAll="0"/>
    <pivotField showAll="0"/>
    <pivotField showAll="0"/>
    <pivotField showAll="0"/>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Count of Order_Status" fld="13"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 chart="0" format="6">
      <pivotArea type="data" outline="0" fieldPosition="0">
        <references count="2">
          <reference field="4294967294" count="1" selected="0">
            <x v="0"/>
          </reference>
          <reference field="12" count="1" selected="0">
            <x v="5"/>
          </reference>
        </references>
      </pivotArea>
    </chartFormat>
    <chartFormat chart="0" format="7">
      <pivotArea type="data" outline="0" fieldPosition="0">
        <references count="2">
          <reference field="4294967294" count="1" selected="0">
            <x v="0"/>
          </reference>
          <reference field="12" count="1" selected="0">
            <x v="0"/>
          </reference>
        </references>
      </pivotArea>
    </chartFormat>
    <chartFormat chart="13" format="15" series="1">
      <pivotArea type="data" outline="0" fieldPosition="0">
        <references count="1">
          <reference field="4294967294" count="1" selected="0">
            <x v="0"/>
          </reference>
        </references>
      </pivotArea>
    </chartFormat>
    <chartFormat chart="13" format="16">
      <pivotArea type="data" outline="0" fieldPosition="0">
        <references count="2">
          <reference field="4294967294" count="1" selected="0">
            <x v="0"/>
          </reference>
          <reference field="12" count="1" selected="0">
            <x v="0"/>
          </reference>
        </references>
      </pivotArea>
    </chartFormat>
    <chartFormat chart="13" format="17">
      <pivotArea type="data" outline="0" fieldPosition="0">
        <references count="2">
          <reference field="4294967294" count="1" selected="0">
            <x v="0"/>
          </reference>
          <reference field="12" count="1" selected="0">
            <x v="1"/>
          </reference>
        </references>
      </pivotArea>
    </chartFormat>
    <chartFormat chart="13" format="18">
      <pivotArea type="data" outline="0" fieldPosition="0">
        <references count="2">
          <reference field="4294967294" count="1" selected="0">
            <x v="0"/>
          </reference>
          <reference field="12" count="1" selected="0">
            <x v="2"/>
          </reference>
        </references>
      </pivotArea>
    </chartFormat>
    <chartFormat chart="13" format="19">
      <pivotArea type="data" outline="0" fieldPosition="0">
        <references count="2">
          <reference field="4294967294" count="1" selected="0">
            <x v="0"/>
          </reference>
          <reference field="12" count="1" selected="0">
            <x v="3"/>
          </reference>
        </references>
      </pivotArea>
    </chartFormat>
    <chartFormat chart="13" format="20">
      <pivotArea type="data" outline="0" fieldPosition="0">
        <references count="2">
          <reference field="4294967294" count="1" selected="0">
            <x v="0"/>
          </reference>
          <reference field="12" count="1" selected="0">
            <x v="4"/>
          </reference>
        </references>
      </pivotArea>
    </chartFormat>
    <chartFormat chart="13" format="21">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7A2848-9EE2-4F42-BD49-6EBA56E7630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W5:Y9" firstHeaderRow="0" firstDataRow="1" firstDataCol="1"/>
  <pivotFields count="18">
    <pivotField showAll="0"/>
    <pivotField showAll="0"/>
    <pivotField showAll="0">
      <items count="38">
        <item x="24"/>
        <item x="25"/>
        <item x="27"/>
        <item x="7"/>
        <item x="5"/>
        <item x="30"/>
        <item x="29"/>
        <item x="19"/>
        <item x="11"/>
        <item x="3"/>
        <item x="34"/>
        <item x="2"/>
        <item x="10"/>
        <item x="8"/>
        <item x="20"/>
        <item x="23"/>
        <item x="13"/>
        <item x="18"/>
        <item x="17"/>
        <item x="16"/>
        <item x="1"/>
        <item x="6"/>
        <item x="33"/>
        <item x="12"/>
        <item x="14"/>
        <item x="15"/>
        <item x="28"/>
        <item x="32"/>
        <item x="21"/>
        <item x="9"/>
        <item x="0"/>
        <item x="22"/>
        <item x="4"/>
        <item x="35"/>
        <item x="36"/>
        <item x="31"/>
        <item x="26"/>
        <item t="default"/>
      </items>
    </pivotField>
    <pivotField showAll="0"/>
    <pivotField showAll="0"/>
    <pivotField showAll="0"/>
    <pivotField showAll="0"/>
    <pivotField showAll="0"/>
    <pivotField numFmtId="164" showAll="0"/>
    <pivotField showAll="0"/>
    <pivotField dataField="1" showAll="0"/>
    <pivotField dataField="1" showAll="0"/>
    <pivotField axis="axisRow" showAll="0">
      <items count="4">
        <item x="1"/>
        <item x="0"/>
        <item x="2"/>
        <item t="default"/>
      </items>
    </pivotField>
    <pivotField showAll="0"/>
    <pivotField showAll="0">
      <items count="3">
        <item x="1"/>
        <item x="0"/>
        <item t="default"/>
      </items>
    </pivotField>
    <pivotField showAll="0"/>
    <pivotField showAll="0"/>
    <pivotField showAll="0"/>
  </pivotFields>
  <rowFields count="1">
    <field x="12"/>
  </rowFields>
  <rowItems count="4">
    <i>
      <x/>
    </i>
    <i>
      <x v="1"/>
    </i>
    <i>
      <x v="2"/>
    </i>
    <i t="grand">
      <x/>
    </i>
  </rowItems>
  <colFields count="1">
    <field x="-2"/>
  </colFields>
  <colItems count="2">
    <i>
      <x/>
    </i>
    <i i="1">
      <x v="1"/>
    </i>
  </colItems>
  <dataFields count="2">
    <dataField name="Sum of Total_Orders" fld="10" baseField="0" baseItem="0"/>
    <dataField name="Sum of Total_Spent" fld="11"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2" count="1" selected="0">
            <x v="0"/>
          </reference>
        </references>
      </pivotArea>
    </chartFormat>
    <chartFormat chart="0" format="3">
      <pivotArea type="data" outline="0" fieldPosition="0">
        <references count="2">
          <reference field="4294967294" count="1" selected="0">
            <x v="1"/>
          </reference>
          <reference field="12" count="1" selected="0">
            <x v="1"/>
          </reference>
        </references>
      </pivotArea>
    </chartFormat>
    <chartFormat chart="0" format="4">
      <pivotArea type="data" outline="0" fieldPosition="0">
        <references count="2">
          <reference field="4294967294" count="1" selected="0">
            <x v="1"/>
          </reference>
          <reference field="12" count="1" selected="0">
            <x v="2"/>
          </reference>
        </references>
      </pivotArea>
    </chartFormat>
    <chartFormat chart="0" format="5">
      <pivotArea type="data" outline="0" fieldPosition="0">
        <references count="2">
          <reference field="4294967294" count="1" selected="0">
            <x v="0"/>
          </reference>
          <reference field="12" count="1" selected="0">
            <x v="0"/>
          </reference>
        </references>
      </pivotArea>
    </chartFormat>
    <chartFormat chart="0" format="6">
      <pivotArea type="data" outline="0" fieldPosition="0">
        <references count="2">
          <reference field="4294967294" count="1" selected="0">
            <x v="0"/>
          </reference>
          <reference field="12" count="1" selected="0">
            <x v="2"/>
          </reference>
        </references>
      </pivotArea>
    </chartFormat>
    <chartFormat chart="0" format="7">
      <pivotArea type="data" outline="0" fieldPosition="0">
        <references count="2">
          <reference field="4294967294" count="1" selected="0">
            <x v="0"/>
          </reference>
          <reference field="12"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2" count="1" selected="0">
            <x v="0"/>
          </reference>
        </references>
      </pivotArea>
    </chartFormat>
    <chartFormat chart="6" format="18">
      <pivotArea type="data" outline="0" fieldPosition="0">
        <references count="2">
          <reference field="4294967294" count="1" selected="0">
            <x v="0"/>
          </reference>
          <reference field="12" count="1" selected="0">
            <x v="1"/>
          </reference>
        </references>
      </pivotArea>
    </chartFormat>
    <chartFormat chart="6" format="19">
      <pivotArea type="data" outline="0" fieldPosition="0">
        <references count="2">
          <reference field="4294967294" count="1" selected="0">
            <x v="0"/>
          </reference>
          <reference field="12" count="1" selected="0">
            <x v="2"/>
          </reference>
        </references>
      </pivotArea>
    </chartFormat>
    <chartFormat chart="6" format="20" series="1">
      <pivotArea type="data" outline="0" fieldPosition="0">
        <references count="1">
          <reference field="4294967294" count="1" selected="0">
            <x v="1"/>
          </reference>
        </references>
      </pivotArea>
    </chartFormat>
    <chartFormat chart="6" format="21">
      <pivotArea type="data" outline="0" fieldPosition="0">
        <references count="2">
          <reference field="4294967294" count="1" selected="0">
            <x v="1"/>
          </reference>
          <reference field="12" count="1" selected="0">
            <x v="0"/>
          </reference>
        </references>
      </pivotArea>
    </chartFormat>
    <chartFormat chart="6" format="22">
      <pivotArea type="data" outline="0" fieldPosition="0">
        <references count="2">
          <reference field="4294967294" count="1" selected="0">
            <x v="1"/>
          </reference>
          <reference field="12" count="1" selected="0">
            <x v="1"/>
          </reference>
        </references>
      </pivotArea>
    </chartFormat>
    <chartFormat chart="6" format="23">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081576-0FD5-42AC-99F3-74D35583C85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R8:S14" firstHeaderRow="1" firstDataRow="1" firstDataCol="1"/>
  <pivotFields count="15">
    <pivotField showAll="0"/>
    <pivotField showAll="0" measureFilter="1">
      <items count="81">
        <item x="65"/>
        <item x="36"/>
        <item x="28"/>
        <item x="75"/>
        <item x="43"/>
        <item x="72"/>
        <item x="20"/>
        <item x="25"/>
        <item x="3"/>
        <item x="74"/>
        <item x="57"/>
        <item x="62"/>
        <item x="17"/>
        <item x="38"/>
        <item x="40"/>
        <item x="46"/>
        <item x="60"/>
        <item x="12"/>
        <item x="34"/>
        <item x="44"/>
        <item x="13"/>
        <item x="56"/>
        <item x="50"/>
        <item x="41"/>
        <item x="16"/>
        <item x="55"/>
        <item x="66"/>
        <item x="27"/>
        <item x="49"/>
        <item x="53"/>
        <item x="69"/>
        <item x="29"/>
        <item x="35"/>
        <item x="26"/>
        <item x="73"/>
        <item x="79"/>
        <item x="39"/>
        <item x="0"/>
        <item x="64"/>
        <item x="18"/>
        <item x="70"/>
        <item x="54"/>
        <item x="10"/>
        <item x="30"/>
        <item x="59"/>
        <item x="32"/>
        <item x="58"/>
        <item x="77"/>
        <item x="19"/>
        <item x="8"/>
        <item x="31"/>
        <item x="61"/>
        <item x="71"/>
        <item x="45"/>
        <item x="67"/>
        <item x="52"/>
        <item x="47"/>
        <item x="1"/>
        <item x="6"/>
        <item x="2"/>
        <item x="76"/>
        <item x="48"/>
        <item x="15"/>
        <item x="63"/>
        <item x="37"/>
        <item x="68"/>
        <item x="24"/>
        <item x="21"/>
        <item x="51"/>
        <item x="5"/>
        <item x="23"/>
        <item x="9"/>
        <item x="33"/>
        <item x="7"/>
        <item x="22"/>
        <item x="14"/>
        <item x="4"/>
        <item x="11"/>
        <item x="78"/>
        <item x="42"/>
        <item t="default"/>
      </items>
    </pivotField>
    <pivotField axis="axisRow" showAll="0" measureFilter="1">
      <items count="9">
        <item x="5"/>
        <item x="6"/>
        <item x="1"/>
        <item x="0"/>
        <item x="2"/>
        <item x="3"/>
        <item x="4"/>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6">
    <i>
      <x/>
    </i>
    <i>
      <x v="1"/>
    </i>
    <i>
      <x v="3"/>
    </i>
    <i>
      <x v="4"/>
    </i>
    <i>
      <x v="6"/>
    </i>
    <i t="grand">
      <x/>
    </i>
  </rowItems>
  <colItems count="1">
    <i/>
  </colItems>
  <dataFields count="1">
    <dataField name="Average of Profit_Margin_Pct" fld="5" subtotal="average" baseField="2" baseItem="0"/>
  </dataFields>
  <chartFormats count="2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2"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 chart="5" format="4">
      <pivotArea type="data" outline="0" fieldPosition="0">
        <references count="2">
          <reference field="4294967294" count="1" selected="0">
            <x v="0"/>
          </reference>
          <reference field="2" count="1" selected="0">
            <x v="3"/>
          </reference>
        </references>
      </pivotArea>
    </chartFormat>
    <chartFormat chart="5" format="5">
      <pivotArea type="data" outline="0" fieldPosition="0">
        <references count="2">
          <reference field="4294967294" count="1" selected="0">
            <x v="0"/>
          </reference>
          <reference field="2" count="1" selected="0">
            <x v="4"/>
          </reference>
        </references>
      </pivotArea>
    </chartFormat>
    <chartFormat chart="5" format="6">
      <pivotArea type="data" outline="0" fieldPosition="0">
        <references count="2">
          <reference field="4294967294" count="1" selected="0">
            <x v="0"/>
          </reference>
          <reference field="2" count="1" selected="0">
            <x v="6"/>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7" format="10">
      <pivotArea type="data" outline="0" fieldPosition="0">
        <references count="2">
          <reference field="4294967294" count="1" selected="0">
            <x v="0"/>
          </reference>
          <reference field="2" count="1" selected="0">
            <x v="3"/>
          </reference>
        </references>
      </pivotArea>
    </chartFormat>
    <chartFormat chart="7" format="11">
      <pivotArea type="data" outline="0" fieldPosition="0">
        <references count="2">
          <reference field="4294967294" count="1" selected="0">
            <x v="0"/>
          </reference>
          <reference field="2" count="1" selected="0">
            <x v="4"/>
          </reference>
        </references>
      </pivotArea>
    </chartFormat>
    <chartFormat chart="7" format="12">
      <pivotArea type="data" outline="0" fieldPosition="0">
        <references count="2">
          <reference field="4294967294" count="1" selected="0">
            <x v="0"/>
          </reference>
          <reference field="2" count="1" selected="0">
            <x v="6"/>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2" count="1" selected="0">
            <x v="0"/>
          </reference>
        </references>
      </pivotArea>
    </chartFormat>
    <chartFormat chart="8" format="9">
      <pivotArea type="data" outline="0" fieldPosition="0">
        <references count="2">
          <reference field="4294967294" count="1" selected="0">
            <x v="0"/>
          </reference>
          <reference field="2" count="1" selected="0">
            <x v="1"/>
          </reference>
        </references>
      </pivotArea>
    </chartFormat>
    <chartFormat chart="8" format="10">
      <pivotArea type="data" outline="0" fieldPosition="0">
        <references count="2">
          <reference field="4294967294" count="1" selected="0">
            <x v="0"/>
          </reference>
          <reference field="2" count="1" selected="0">
            <x v="3"/>
          </reference>
        </references>
      </pivotArea>
    </chartFormat>
    <chartFormat chart="8" format="11">
      <pivotArea type="data" outline="0" fieldPosition="0">
        <references count="2">
          <reference field="4294967294" count="1" selected="0">
            <x v="0"/>
          </reference>
          <reference field="2" count="1" selected="0">
            <x v="4"/>
          </reference>
        </references>
      </pivotArea>
    </chartFormat>
    <chartFormat chart="8" format="12">
      <pivotArea type="data" outline="0" fieldPosition="0">
        <references count="2">
          <reference field="4294967294" count="1" selected="0">
            <x v="0"/>
          </reference>
          <reference field="2" count="1" selected="0">
            <x v="6"/>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73F84D-4E60-4DC9-A7E3-AD7F4CD53549}"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2:T5" firstHeaderRow="0" firstDataRow="1" firstDataCol="1"/>
  <pivotFields count="15">
    <pivotField showAll="0"/>
    <pivotField showAll="0"/>
    <pivotField showAll="0"/>
    <pivotField showAll="0"/>
    <pivotField showAll="0"/>
    <pivotField showAll="0"/>
    <pivotField showAll="0"/>
    <pivotField showAll="0"/>
    <pivotField dataField="1" showAll="0"/>
    <pivotField showAll="0"/>
    <pivotField showAll="0"/>
    <pivotField dataField="1" showAll="0">
      <items count="81">
        <item x="66"/>
        <item x="23"/>
        <item x="60"/>
        <item x="25"/>
        <item x="21"/>
        <item x="54"/>
        <item x="69"/>
        <item x="15"/>
        <item x="53"/>
        <item x="22"/>
        <item x="24"/>
        <item x="52"/>
        <item x="27"/>
        <item x="20"/>
        <item x="74"/>
        <item x="63"/>
        <item x="68"/>
        <item x="61"/>
        <item x="38"/>
        <item x="79"/>
        <item x="26"/>
        <item x="50"/>
        <item x="47"/>
        <item x="51"/>
        <item x="40"/>
        <item x="57"/>
        <item x="39"/>
        <item x="65"/>
        <item x="58"/>
        <item x="71"/>
        <item x="59"/>
        <item x="77"/>
        <item x="64"/>
        <item x="62"/>
        <item x="28"/>
        <item x="18"/>
        <item x="10"/>
        <item x="76"/>
        <item x="49"/>
        <item x="37"/>
        <item x="45"/>
        <item x="42"/>
        <item x="29"/>
        <item x="78"/>
        <item x="44"/>
        <item x="73"/>
        <item x="32"/>
        <item x="56"/>
        <item x="34"/>
        <item x="67"/>
        <item x="11"/>
        <item x="55"/>
        <item x="72"/>
        <item x="19"/>
        <item x="3"/>
        <item x="9"/>
        <item x="16"/>
        <item x="12"/>
        <item x="43"/>
        <item x="41"/>
        <item x="70"/>
        <item x="17"/>
        <item x="46"/>
        <item x="13"/>
        <item x="7"/>
        <item x="8"/>
        <item x="31"/>
        <item x="14"/>
        <item x="35"/>
        <item x="2"/>
        <item x="48"/>
        <item x="4"/>
        <item x="75"/>
        <item x="30"/>
        <item x="36"/>
        <item x="33"/>
        <item x="6"/>
        <item x="5"/>
        <item x="0"/>
        <item x="1"/>
        <item t="default"/>
      </items>
    </pivotField>
    <pivotField axis="axisRow" showAll="0">
      <items count="3">
        <item x="1"/>
        <item x="0"/>
        <item t="default"/>
      </items>
    </pivotField>
    <pivotField showAll="0"/>
    <pivotField showAll="0"/>
  </pivotFields>
  <rowFields count="1">
    <field x="12"/>
  </rowFields>
  <rowItems count="3">
    <i>
      <x/>
    </i>
    <i>
      <x v="1"/>
    </i>
    <i t="grand">
      <x/>
    </i>
  </rowItems>
  <colFields count="1">
    <field x="-2"/>
  </colFields>
  <colItems count="2">
    <i>
      <x/>
    </i>
    <i i="1">
      <x v="1"/>
    </i>
  </colItems>
  <dataFields count="2">
    <dataField name="Sum of Stock_Available" fld="8" baseField="0" baseItem="0"/>
    <dataField name="Sum of Inventory_Value" fld="1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2" count="1" selected="0">
            <x v="1"/>
          </reference>
        </references>
      </pivotArea>
    </chartFormat>
    <chartFormat chart="0" format="3">
      <pivotArea type="data" outline="0" fieldPosition="0">
        <references count="2">
          <reference field="4294967294" count="1" selected="0">
            <x v="1"/>
          </reference>
          <reference field="12" count="1" selected="0">
            <x v="0"/>
          </reference>
        </references>
      </pivotArea>
    </chartFormat>
    <chartFormat chart="0" format="4">
      <pivotArea type="data" outline="0" fieldPosition="0">
        <references count="2">
          <reference field="4294967294" count="1" selected="0">
            <x v="0"/>
          </reference>
          <reference field="12" count="1" selected="0">
            <x v="1"/>
          </reference>
        </references>
      </pivotArea>
    </chartFormat>
    <chartFormat chart="0" format="5">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419B40-1EE1-4860-B14C-0490353416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Month">
  <location ref="G23:I36" firstHeaderRow="0" firstDataRow="1" firstDataCol="1"/>
  <pivotFields count="15">
    <pivotField axis="axisRow" showAll="0">
      <items count="13">
        <item x="0"/>
        <item x="1"/>
        <item x="2"/>
        <item x="3"/>
        <item x="4"/>
        <item x="5"/>
        <item x="6"/>
        <item x="7"/>
        <item x="8"/>
        <item x="9"/>
        <item x="10"/>
        <item x="11"/>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_Revenue" fld="4" baseField="0" baseItem="0" numFmtId="165"/>
    <dataField name="Sum of Total_Orders" fld="3"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0"/>
          </reference>
        </references>
      </pivotArea>
    </chartFormat>
    <chartFormat chart="30" format="5"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3A6B8FB-5125-4A55-B875-B6F6AFD2BC1C}" sourceName="Category">
  <pivotTables>
    <pivotTable tabId="1" name="PivotTable2"/>
    <pivotTable tabId="1" name="PivotTable4"/>
    <pivotTable tabId="1" name="PivotTable6"/>
  </pivotTables>
  <data>
    <tabular pivotCacheId="344165360">
      <items count="8">
        <i x="1" s="1"/>
        <i x="7" s="1"/>
        <i x="4" s="1"/>
        <i x="5" s="1"/>
        <i x="3" s="1"/>
        <i x="6"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C43CEE5-4FB6-4539-946B-5C46B248B5F1}" sourceName="City">
  <pivotTables>
    <pivotTable tabId="1" name="PivotTable2"/>
    <pivotTable tabId="1" name="PivotTable4"/>
    <pivotTable tabId="1" name="PivotTable6"/>
  </pivotTables>
  <data>
    <tabular pivotCacheId="344165360" sortOrder="descending">
      <items count="24">
        <i x="8" s="1"/>
        <i x="3" s="1"/>
        <i x="18" s="1"/>
        <i x="2" s="1"/>
        <i x="12" s="1"/>
        <i x="5" s="1"/>
        <i x="11" s="1"/>
        <i x="14" s="1"/>
        <i x="0" s="1"/>
        <i x="7" s="1"/>
        <i x="19" s="1"/>
        <i x="10" s="1"/>
        <i x="15" s="1"/>
        <i x="17" s="1"/>
        <i x="23" s="1"/>
        <i x="4" s="1"/>
        <i x="1" s="1"/>
        <i x="22" s="1"/>
        <i x="9" s="1"/>
        <i x="6" s="1"/>
        <i x="16" s="1"/>
        <i x="13" s="1"/>
        <i x="20" s="1"/>
        <i x="2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AA9A9D4-5720-4EA2-8092-A7B68125E2CE}" sourceName="Month">
  <pivotTables>
    <pivotTable tabId="4" name="PivotTable1"/>
  </pivotTables>
  <data>
    <tabular pivotCacheId="1942788803">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EC9986F-A2F6-441B-AAAC-20917A9E5F85}" cache="Slicer_Category" caption="Category" rowHeight="234950"/>
  <slicer name="City" xr10:uid="{EFF880C1-79C1-4917-8673-68A5EAE4E030}"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4164FE1-E9B9-4792-91D0-192B6CA48E85}" cache="Slicer_Month" caption="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3EAD9E4A-3F13-4FEC-9883-3FD1C6F9D919}" cache="Slicer_City" caption="City" showCaption="0" style="SlicerStyleDark1" rowHeight="360000"/>
  <slicer name="Month 1" xr10:uid="{FA7CF0A3-9958-4FB7-BE95-22D959613AEC}" cache="Slicer_Month" caption="Month" columnCount="2" showCaption="0" style="SlicerStyleDark1"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A31736-4641-4D2B-8A4F-DDDDC3D93BDD}" name="Table1" displayName="Table1" ref="A1:W501" totalsRowShown="0" headerRowDxfId="61" dataDxfId="60" tableBorderDxfId="59">
  <autoFilter ref="A1:W501" xr:uid="{31A31736-4641-4D2B-8A4F-DDDDC3D93BDD}"/>
  <tableColumns count="23">
    <tableColumn id="1" xr3:uid="{71E19379-3FD5-4B13-A961-34F0627BF833}" name="Order_ID" dataDxfId="58"/>
    <tableColumn id="2" xr3:uid="{E1F39458-5766-4D3A-A372-8304C46F0086}" name="Order_Date" dataDxfId="57"/>
    <tableColumn id="3" xr3:uid="{2DB5217F-0CAB-4DC2-9A88-CC943EB1BD07}" name="Customer_ID" dataDxfId="56"/>
    <tableColumn id="4" xr3:uid="{1A27B07B-95E2-4A82-9A3F-AA7993AA142C}" name="Customer_Name" dataDxfId="55"/>
    <tableColumn id="5" xr3:uid="{1114BC22-A81E-4108-AEC1-FE94CEFF08CA}" name="City" dataDxfId="54"/>
    <tableColumn id="6" xr3:uid="{56F5C2C7-37D9-4D9A-9060-18CB14E2E8F9}" name="State" dataDxfId="53"/>
    <tableColumn id="7" xr3:uid="{8F12C915-2243-459E-81A6-2ABCAC3B1B44}" name="Category" dataDxfId="52"/>
    <tableColumn id="8" xr3:uid="{AD7B5B5F-0910-45CA-849D-2A6F27E16E76}" name="Product_Name" dataDxfId="51"/>
    <tableColumn id="9" xr3:uid="{63709BC7-07FC-42E5-9759-827A3321ECE0}" name="Quantity" dataDxfId="50"/>
    <tableColumn id="10" xr3:uid="{D4EC82DB-C58F-4F4D-B912-AC944C4482CA}" name="Unit_Price" dataDxfId="49"/>
    <tableColumn id="11" xr3:uid="{BAE3E197-59E6-4042-AACE-4746724A4B7D}" name="Discount_Pct" dataDxfId="48"/>
    <tableColumn id="12" xr3:uid="{41E77857-3480-4647-8F5A-963345DAC08C}" name="Final_Price" dataDxfId="47"/>
    <tableColumn id="13" xr3:uid="{3F5B4633-BF94-4D00-AA9E-6886A35F9DEC}" name="Payment_Mode" dataDxfId="46"/>
    <tableColumn id="14" xr3:uid="{C2B1DFE9-CC72-475C-A71E-FFD8DF3E2E0C}" name="Order_Status" dataDxfId="45"/>
    <tableColumn id="15" xr3:uid="{0A5E349C-DF80-4775-8925-ADC8FE063531}" name="Delivery_Days" dataDxfId="44"/>
    <tableColumn id="16" xr3:uid="{ED411A85-645B-49D3-B2F8-F5B96F6BFA5E}" name="Total_Amount_Before_Discount" dataDxfId="43">
      <calculatedColumnFormula>I2*J2</calculatedColumnFormula>
    </tableColumn>
    <tableColumn id="17" xr3:uid="{3D5D2CC3-1B26-4C86-9C6C-E19CCF8051C1}" name="Discount_Amount" dataDxfId="42">
      <calculatedColumnFormula>P2*(K2/100)</calculatedColumnFormula>
    </tableColumn>
    <tableColumn id="18" xr3:uid="{F9CEA08D-70FB-472A-BD4F-EA479914DD28}" name="Profit_Estimate" dataDxfId="41">
      <calculatedColumnFormula>L2*0.2</calculatedColumnFormula>
    </tableColumn>
    <tableColumn id="19" xr3:uid="{426DB45D-6F94-4F1A-BEE2-A8332788B199}" name="Order_Month" dataDxfId="40">
      <calculatedColumnFormula>TEXT(B2,"MMM")</calculatedColumnFormula>
    </tableColumn>
    <tableColumn id="20" xr3:uid="{E7A2EEB3-9564-4C78-806C-DAADA703C2F2}" name="Order_Year" dataDxfId="39">
      <calculatedColumnFormula>YEAR(B2)</calculatedColumnFormula>
    </tableColumn>
    <tableColumn id="21" xr3:uid="{F2A92EF4-DE82-470D-8CB9-A96306BBAD24}" name="Delivery_Status" dataDxfId="38">
      <calculatedColumnFormula>IF(O2&lt;=3,"Fast","Delayed")</calculatedColumnFormula>
    </tableColumn>
    <tableColumn id="22" xr3:uid="{3371F900-7BCA-4533-A15F-97E6D96464CF}" name="Revenue_Band" dataDxfId="37">
      <calculatedColumnFormula>IF(L2&gt;5000,"High Value","Normal")</calculatedColumnFormula>
    </tableColumn>
    <tableColumn id="23" xr3:uid="{201BA3FD-361B-4258-BAA3-C6CBFF67ABFF}" name="Weekend_Order" dataDxfId="36">
      <calculatedColumnFormula>IF(WEEKDAY(B2,2)&gt;5,"Yes","No")</calculatedColumnFormula>
    </tableColumn>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4BBD69-FBC4-46B3-A068-E58BC217138B}" name="Table2" displayName="Table2" ref="A1:R101" totalsRowShown="0" headerRowDxfId="82" dataDxfId="81" tableBorderDxfId="80">
  <autoFilter ref="A1:R101" xr:uid="{1E4BBD69-FBC4-46B3-A068-E58BC217138B}"/>
  <tableColumns count="18">
    <tableColumn id="1" xr3:uid="{D8B634F8-6535-4E99-82FA-86131926425D}" name="Customer_ID" dataDxfId="79"/>
    <tableColumn id="2" xr3:uid="{C61058E0-22ED-40EC-835E-C5CE52144906}" name="Customer_Name" dataDxfId="78"/>
    <tableColumn id="3" xr3:uid="{6D842FCF-0B4B-4B2B-84CE-9B92D1BE6924}" name="Age" dataDxfId="77"/>
    <tableColumn id="4" xr3:uid="{2111898C-6793-465B-ACFA-97EAB1A13800}" name="Gender" dataDxfId="76"/>
    <tableColumn id="5" xr3:uid="{B0562F75-C2C4-4A39-B5E9-CB8C1F153BE3}" name="City" dataDxfId="75"/>
    <tableColumn id="6" xr3:uid="{52DEA28B-68C4-4F73-9B42-8A940145E47F}" name="State" dataDxfId="74"/>
    <tableColumn id="7" xr3:uid="{3B105E3D-E154-4833-A286-0B5DDFAC7525}" name="Email" dataDxfId="73"/>
    <tableColumn id="8" xr3:uid="{AB61D1C5-F7A2-48F5-B264-5B171263CDC3}" name="Phone" dataDxfId="72"/>
    <tableColumn id="9" xr3:uid="{2840A2ED-7A04-4597-857B-AA7F23E6AE40}" name="Signup_Date" dataDxfId="71"/>
    <tableColumn id="10" xr3:uid="{DD76344C-3076-4074-80A6-406865DCF1E1}" name="Membership_Type" dataDxfId="70"/>
    <tableColumn id="11" xr3:uid="{D066ADF6-E66C-410F-AEEA-0AAC4A4DF234}" name="Total_Orders" dataDxfId="69"/>
    <tableColumn id="12" xr3:uid="{E28EE189-5226-49EA-8B1D-C08A74563D1C}" name="Total_Spent" dataDxfId="68"/>
    <tableColumn id="13" xr3:uid="{37BD7AC8-4A59-49BB-B488-7AF80F89A974}" name="Age_Group" dataDxfId="67">
      <calculatedColumnFormula>IF(C2&lt;25,"Young",IF(C2&lt;40,"Adult","Senoir"))</calculatedColumnFormula>
    </tableColumn>
    <tableColumn id="14" xr3:uid="{32E30F01-C4BB-4727-A15C-827193E053EF}" name="Avg_Order_Value" dataDxfId="66">
      <calculatedColumnFormula>L2/K2</calculatedColumnFormula>
    </tableColumn>
    <tableColumn id="15" xr3:uid="{8DFE72CA-C820-4E89-A5C7-99B4C24C0689}" name="Customer_Level" dataDxfId="65">
      <calculatedColumnFormula>IF(L2&gt;10000,"Premium","Regular")</calculatedColumnFormula>
    </tableColumn>
    <tableColumn id="16" xr3:uid="{CC910CD8-6B2B-4528-859C-BD927DD17612}" name="Membership_Duration" dataDxfId="64">
      <calculatedColumnFormula>DATEDIF(I2,TODAY(), "M")</calculatedColumnFormula>
    </tableColumn>
    <tableColumn id="17" xr3:uid="{B4CEB8B6-3AF6-4C57-B97B-811837F6254A}" name="Spending_Category" dataDxfId="63">
      <calculatedColumnFormula>IF(L2&gt;15000,"High Spender","Medium Spender")</calculatedColumnFormula>
    </tableColumn>
    <tableColumn id="18" xr3:uid="{6FE82425-1CCE-4CF7-9AF2-67EF2989C52B}" name="Customer_Status" dataDxfId="62">
      <calculatedColumnFormula>IF(K2&gt;=10,"Active","Less active")</calculatedColumnFormula>
    </tableColumn>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8E841F-449D-434F-8B82-04689516BE47}" name="Table3" displayName="Table3" ref="A1:O81" totalsRowShown="0" headerRowDxfId="35" dataDxfId="34" tableBorderDxfId="33">
  <autoFilter ref="A1:O81" xr:uid="{898E841F-449D-434F-8B82-04689516BE47}"/>
  <tableColumns count="15">
    <tableColumn id="1" xr3:uid="{030765A9-18D7-4A2F-8A23-EBD8B85A7BA5}" name="Product_ID" dataDxfId="32"/>
    <tableColumn id="2" xr3:uid="{077CE03C-F830-433B-88E5-FD35D507F839}" name="Product_Name" dataDxfId="31"/>
    <tableColumn id="3" xr3:uid="{38E16E52-78C4-47F9-9137-B06771C757A9}" name="Category" dataDxfId="30"/>
    <tableColumn id="4" xr3:uid="{8BE7082C-37AD-405E-9E0F-55C71FB645C4}" name="MRP" dataDxfId="29"/>
    <tableColumn id="5" xr3:uid="{8413B020-A704-45C7-A013-3532E5F4C1F6}" name="Cost_Price" dataDxfId="28"/>
    <tableColumn id="6" xr3:uid="{2A455A2C-0102-4757-B34C-E738D34F5B25}" name="Profit_Margin_Pct" dataDxfId="27"/>
    <tableColumn id="7" xr3:uid="{F5B0B649-1591-4094-B64B-3B368066A66C}" name="Brand" dataDxfId="26"/>
    <tableColumn id="8" xr3:uid="{88282A7A-A9D1-4BD4-B377-2DDE2903F1BD}" name="Rating" dataDxfId="25"/>
    <tableColumn id="9" xr3:uid="{6BB69699-FE78-4F68-B7D5-D87B2D9E4434}" name="Stock_Available" dataDxfId="24"/>
    <tableColumn id="10" xr3:uid="{BF297DCC-24EB-4064-8DA9-880C6AA498C5}" name="Reorder_Level" dataDxfId="23"/>
    <tableColumn id="11" xr3:uid="{8F201A08-C9C4-46FB-95AE-9DE5F6C77476}" name="Profit_Per_Unit" dataDxfId="22">
      <calculatedColumnFormula>D2-E2</calculatedColumnFormula>
    </tableColumn>
    <tableColumn id="12" xr3:uid="{60FC2505-896D-410F-A87A-1B6F523886FE}" name="Inventory_Value" dataDxfId="21">
      <calculatedColumnFormula>D2*I2</calculatedColumnFormula>
    </tableColumn>
    <tableColumn id="13" xr3:uid="{2AFE3679-FDF7-4866-9821-651FA11B8F63}" name="Stock_Status" dataDxfId="20">
      <calculatedColumnFormula>IF(I2&lt;=J2,"Reorderd Needed","Sufficient")</calculatedColumnFormula>
    </tableColumn>
    <tableColumn id="14" xr3:uid="{F6835053-0C24-4282-A137-B40BB5A7AC8E}" name="Rating_Category" dataDxfId="19">
      <calculatedColumnFormula>IF(H2&gt;=4,"Excellent","Average")</calculatedColumnFormula>
    </tableColumn>
    <tableColumn id="15" xr3:uid="{9183DEA5-BAB5-4146-B8C9-BE26C1406760}" name="Expected_Profit" dataDxfId="18">
      <calculatedColumnFormula>(D2-E2)*I2</calculatedColumnFormula>
    </tableColumn>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2B2FC1-C68C-4CAD-AFFB-52F50F81221D}" name="Table4" displayName="Table4" ref="A1:O19" totalsRowShown="0" headerRowDxfId="17" dataDxfId="16" tableBorderDxfId="15">
  <autoFilter ref="A1:O19" xr:uid="{6E2B2FC1-C68C-4CAD-AFFB-52F50F81221D}"/>
  <tableColumns count="15">
    <tableColumn id="1" xr3:uid="{810B5A5F-1C79-4D76-A6DF-08AE6EBD219A}" name="Month" dataDxfId="14"/>
    <tableColumn id="2" xr3:uid="{52B89071-5E03-479D-B0C6-38C177CF0575}" name="Year" dataDxfId="13"/>
    <tableColumn id="3" xr3:uid="{969CA354-7F5A-4323-BBD9-DE5513A9C7FF}" name="Month_Year" dataDxfId="12"/>
    <tableColumn id="4" xr3:uid="{D16CCC02-2F98-42DD-8CD3-BC2FAADD0EA4}" name="Total_Orders" dataDxfId="11"/>
    <tableColumn id="5" xr3:uid="{2B31D29B-0C6B-4AE3-A6BB-6EA72101590E}" name="Total_Revenue" dataDxfId="10"/>
    <tableColumn id="6" xr3:uid="{950DEA00-8409-4B2D-86C6-B3C3DA661166}" name="Avg_Order_Value" dataDxfId="9"/>
    <tableColumn id="7" xr3:uid="{A15EAB64-8D25-4E7A-BF7A-BECCC2836497}" name="Top_Category" dataDxfId="8"/>
    <tableColumn id="8" xr3:uid="{1C837575-6765-4661-982F-A885C9D1DC3E}" name="Total_Discount_Given" dataDxfId="7"/>
    <tableColumn id="9" xr3:uid="{139FE066-FF12-4A22-B0A4-45D80F304B5C}" name="Returns" dataDxfId="6"/>
    <tableColumn id="10" xr3:uid="{65B4DC39-BAC8-489B-99AD-4E8FA2A5A94B}" name="New_Customers" dataDxfId="5"/>
    <tableColumn id="11" xr3:uid="{7DF51CF7-D2EA-4A5F-AC6D-E1D936D804A0}" name="Return_Rate_%" dataDxfId="4">
      <calculatedColumnFormula>(I2/D2)*100</calculatedColumnFormula>
    </tableColumn>
    <tableColumn id="12" xr3:uid="{157E22ED-1EF2-472D-96C2-10C72421A582}" name="Customer_Growth_Rate" dataDxfId="3">
      <calculatedColumnFormula>(J2/D2)*100</calculatedColumnFormula>
    </tableColumn>
    <tableColumn id="13" xr3:uid="{EB1EE272-7BA7-47E5-B907-9D43ED72B993}" name="Revenue_Category" dataDxfId="2">
      <calculatedColumnFormula>IF(E2&gt;200000,"High","Medium")</calculatedColumnFormula>
    </tableColumn>
    <tableColumn id="14" xr3:uid="{44FBA470-87C7-41FB-BAEF-4DFEDE594168}" name="Discount_Impact_%" dataDxfId="1">
      <calculatedColumnFormula>(H2/E2)*100</calculatedColumnFormula>
    </tableColumn>
    <tableColumn id="15" xr3:uid="{138F27E9-E05A-40B3-A115-E858C5336FA5}" name="Business_performance" dataDxfId="0">
      <calculatedColumnFormula>IF(K2&lt;5,"Good","Needs Improvement")</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8.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501"/>
  <sheetViews>
    <sheetView zoomScale="86" workbookViewId="0">
      <selection activeCell="AA28" sqref="AA28"/>
    </sheetView>
  </sheetViews>
  <sheetFormatPr defaultRowHeight="14.4" x14ac:dyDescent="0.3"/>
  <cols>
    <col min="1" max="1" width="12" customWidth="1"/>
    <col min="2" max="2" width="14" customWidth="1"/>
    <col min="3" max="3" width="13.77734375" customWidth="1"/>
    <col min="4" max="4" width="22" customWidth="1"/>
    <col min="5" max="5" width="14" customWidth="1"/>
    <col min="6" max="6" width="15" customWidth="1"/>
    <col min="7" max="7" width="18" customWidth="1"/>
    <col min="8" max="8" width="30" customWidth="1"/>
    <col min="9" max="9" width="10.21875" customWidth="1"/>
    <col min="10" max="10" width="12" customWidth="1"/>
    <col min="11" max="11" width="14" customWidth="1"/>
    <col min="12" max="12" width="13" customWidth="1"/>
    <col min="13" max="13" width="16.44140625" customWidth="1"/>
    <col min="14" max="14" width="14" customWidth="1"/>
    <col min="15" max="15" width="14.6640625" customWidth="1"/>
    <col min="16" max="16" width="31.33203125" customWidth="1"/>
    <col min="17" max="17" width="17.88671875" style="6" customWidth="1"/>
    <col min="18" max="18" width="15.5546875" style="6" customWidth="1"/>
    <col min="19" max="19" width="14" style="6" customWidth="1"/>
    <col min="20" max="20" width="12.21875" style="6" customWidth="1"/>
    <col min="21" max="21" width="15.44140625" style="6" customWidth="1"/>
    <col min="22" max="22" width="15" style="6" customWidth="1"/>
    <col min="23" max="23" width="16.33203125" style="6" customWidth="1"/>
    <col min="25" max="25" width="13.33203125" bestFit="1" customWidth="1"/>
    <col min="26" max="27" width="10.77734375" customWidth="1"/>
    <col min="29" max="29" width="13.33203125" bestFit="1" customWidth="1"/>
    <col min="30" max="30" width="17.33203125" bestFit="1" customWidth="1"/>
    <col min="31" max="31" width="15.6640625" bestFit="1" customWidth="1"/>
    <col min="32" max="32" width="10" bestFit="1" customWidth="1"/>
    <col min="33" max="33" width="11.44140625" bestFit="1" customWidth="1"/>
    <col min="34" max="35" width="10" bestFit="1" customWidth="1"/>
    <col min="36" max="36" width="11.109375" bestFit="1" customWidth="1"/>
    <col min="37" max="38" width="10.44140625" bestFit="1" customWidth="1"/>
    <col min="39" max="39" width="11.44140625" bestFit="1" customWidth="1"/>
    <col min="40" max="40" width="4" bestFit="1" customWidth="1"/>
    <col min="41" max="41" width="6.5546875" bestFit="1" customWidth="1"/>
    <col min="42" max="42" width="22.109375" bestFit="1" customWidth="1"/>
    <col min="43" max="43" width="20.33203125" bestFit="1" customWidth="1"/>
  </cols>
  <sheetData>
    <row r="1" spans="1:38" ht="24" customHeight="1" x14ac:dyDescent="0.3">
      <c r="A1" s="7" t="s">
        <v>0</v>
      </c>
      <c r="B1" s="1" t="s">
        <v>1</v>
      </c>
      <c r="C1" s="1" t="s">
        <v>2</v>
      </c>
      <c r="D1" s="1" t="s">
        <v>3</v>
      </c>
      <c r="E1" s="1" t="s">
        <v>4</v>
      </c>
      <c r="F1" s="1" t="s">
        <v>5</v>
      </c>
      <c r="G1" s="1" t="s">
        <v>6</v>
      </c>
      <c r="H1" s="1" t="s">
        <v>7</v>
      </c>
      <c r="I1" s="1" t="s">
        <v>8</v>
      </c>
      <c r="J1" s="1" t="s">
        <v>9</v>
      </c>
      <c r="K1" s="1" t="s">
        <v>10</v>
      </c>
      <c r="L1" s="1" t="s">
        <v>11</v>
      </c>
      <c r="M1" s="1" t="s">
        <v>12</v>
      </c>
      <c r="N1" s="1" t="s">
        <v>13</v>
      </c>
      <c r="O1" s="1" t="s">
        <v>14</v>
      </c>
      <c r="P1" s="10" t="s">
        <v>1225</v>
      </c>
      <c r="Q1" s="11" t="s">
        <v>1226</v>
      </c>
      <c r="R1" s="11" t="s">
        <v>1227</v>
      </c>
      <c r="S1" s="11" t="s">
        <v>1228</v>
      </c>
      <c r="T1" s="11" t="s">
        <v>1229</v>
      </c>
      <c r="U1" s="11" t="s">
        <v>1230</v>
      </c>
      <c r="V1" s="11" t="s">
        <v>1231</v>
      </c>
      <c r="W1" s="11" t="s">
        <v>1232</v>
      </c>
    </row>
    <row r="2" spans="1:38" x14ac:dyDescent="0.3">
      <c r="A2" s="8" t="s">
        <v>15</v>
      </c>
      <c r="B2" s="3">
        <v>45225</v>
      </c>
      <c r="C2" s="2" t="s">
        <v>16</v>
      </c>
      <c r="D2" s="2" t="s">
        <v>17</v>
      </c>
      <c r="E2" s="2" t="s">
        <v>18</v>
      </c>
      <c r="F2" s="2" t="s">
        <v>19</v>
      </c>
      <c r="G2" s="2" t="s">
        <v>20</v>
      </c>
      <c r="H2" s="2" t="s">
        <v>21</v>
      </c>
      <c r="I2" s="2">
        <v>3</v>
      </c>
      <c r="J2" s="2">
        <v>550</v>
      </c>
      <c r="K2" s="2">
        <v>15</v>
      </c>
      <c r="L2" s="2">
        <v>1402.5</v>
      </c>
      <c r="M2" s="2" t="s">
        <v>22</v>
      </c>
      <c r="N2" s="2" t="s">
        <v>23</v>
      </c>
      <c r="O2" s="2">
        <v>0</v>
      </c>
      <c r="P2" s="6">
        <f>I2*J2</f>
        <v>1650</v>
      </c>
      <c r="Q2" s="6">
        <f>P2*(K2/100)</f>
        <v>247.5</v>
      </c>
      <c r="R2" s="6">
        <f>L2*0.2</f>
        <v>280.5</v>
      </c>
      <c r="S2" s="6" t="str">
        <f>TEXT(B2,"MMM")</f>
        <v>Oct</v>
      </c>
      <c r="T2" s="6">
        <f>YEAR(B2)</f>
        <v>2023</v>
      </c>
      <c r="U2" s="6" t="str">
        <f>IF(O2&lt;=3,"Fast","Delayed")</f>
        <v>Fast</v>
      </c>
      <c r="V2" s="6" t="str">
        <f>IF(L2&gt;5000,"High Value","Normal")</f>
        <v>Normal</v>
      </c>
      <c r="W2" s="6" t="str">
        <f>IF(WEEKDAY(B2,2)&gt;5,"Yes","No")</f>
        <v>No</v>
      </c>
    </row>
    <row r="3" spans="1:38" x14ac:dyDescent="0.3">
      <c r="A3" s="9" t="s">
        <v>24</v>
      </c>
      <c r="B3" s="5">
        <v>45215</v>
      </c>
      <c r="C3" s="4" t="s">
        <v>25</v>
      </c>
      <c r="D3" s="4" t="s">
        <v>26</v>
      </c>
      <c r="E3" s="4" t="s">
        <v>27</v>
      </c>
      <c r="F3" s="4" t="s">
        <v>19</v>
      </c>
      <c r="G3" s="4" t="s">
        <v>28</v>
      </c>
      <c r="H3" s="4" t="s">
        <v>29</v>
      </c>
      <c r="I3" s="4">
        <v>2</v>
      </c>
      <c r="J3" s="4">
        <v>1200</v>
      </c>
      <c r="K3" s="4">
        <v>5</v>
      </c>
      <c r="L3" s="4">
        <v>2280</v>
      </c>
      <c r="M3" s="4" t="s">
        <v>30</v>
      </c>
      <c r="N3" s="4" t="s">
        <v>31</v>
      </c>
      <c r="O3" s="4">
        <v>2</v>
      </c>
      <c r="P3" s="6">
        <f t="shared" ref="P3:P66" si="0">I3*J3</f>
        <v>2400</v>
      </c>
      <c r="Q3" s="6">
        <f t="shared" ref="Q3:Q66" si="1">P3*(K3/100)</f>
        <v>120</v>
      </c>
      <c r="R3" s="6">
        <f t="shared" ref="R3:R66" si="2">L3*0.2</f>
        <v>456</v>
      </c>
      <c r="S3" s="6" t="str">
        <f t="shared" ref="S3:S66" si="3">TEXT(B3,"MMM")</f>
        <v>Oct</v>
      </c>
      <c r="T3" s="6">
        <f t="shared" ref="T3:T66" si="4">YEAR(B3)</f>
        <v>2023</v>
      </c>
      <c r="U3" s="6" t="str">
        <f t="shared" ref="U3:U66" si="5">IF(O3&lt;=3,"Fast","Delayed")</f>
        <v>Fast</v>
      </c>
      <c r="V3" s="6" t="str">
        <f t="shared" ref="V3:V66" si="6">IF(L3&gt;5000,"High Value","Normal")</f>
        <v>Normal</v>
      </c>
      <c r="W3" s="6" t="str">
        <f t="shared" ref="W3:W66" si="7">IF(WEEKDAY(B3,2)&gt;5,"Yes","No")</f>
        <v>No</v>
      </c>
    </row>
    <row r="4" spans="1:38" x14ac:dyDescent="0.3">
      <c r="A4" s="8" t="s">
        <v>32</v>
      </c>
      <c r="B4" s="3">
        <v>45405</v>
      </c>
      <c r="C4" s="2" t="s">
        <v>33</v>
      </c>
      <c r="D4" s="2" t="s">
        <v>34</v>
      </c>
      <c r="E4" s="2" t="s">
        <v>35</v>
      </c>
      <c r="F4" s="2" t="s">
        <v>19</v>
      </c>
      <c r="G4" s="2" t="s">
        <v>20</v>
      </c>
      <c r="H4" s="2" t="s">
        <v>36</v>
      </c>
      <c r="I4" s="2">
        <v>2</v>
      </c>
      <c r="J4" s="2">
        <v>1200</v>
      </c>
      <c r="K4" s="2">
        <v>15</v>
      </c>
      <c r="L4" s="2">
        <v>2040</v>
      </c>
      <c r="M4" s="2" t="s">
        <v>22</v>
      </c>
      <c r="N4" s="2" t="s">
        <v>37</v>
      </c>
      <c r="O4" s="2">
        <v>5</v>
      </c>
      <c r="P4" s="6">
        <f t="shared" si="0"/>
        <v>2400</v>
      </c>
      <c r="Q4" s="6">
        <f t="shared" si="1"/>
        <v>360</v>
      </c>
      <c r="R4" s="6">
        <f t="shared" si="2"/>
        <v>408</v>
      </c>
      <c r="S4" s="6" t="str">
        <f t="shared" si="3"/>
        <v>Apr</v>
      </c>
      <c r="T4" s="6">
        <f t="shared" si="4"/>
        <v>2024</v>
      </c>
      <c r="U4" s="6" t="str">
        <f t="shared" si="5"/>
        <v>Delayed</v>
      </c>
      <c r="V4" s="6" t="str">
        <f t="shared" si="6"/>
        <v>Normal</v>
      </c>
      <c r="W4" s="6" t="str">
        <f t="shared" si="7"/>
        <v>No</v>
      </c>
      <c r="Y4" s="25" cm="1">
        <f t="array" ref="Y4">SUM(Table1[Final_Price]/100000)</f>
        <v>33.953891499999969</v>
      </c>
      <c r="AC4" s="12" t="s">
        <v>6</v>
      </c>
      <c r="AD4" t="s">
        <v>1251</v>
      </c>
    </row>
    <row r="5" spans="1:38" x14ac:dyDescent="0.3">
      <c r="A5" s="9" t="s">
        <v>38</v>
      </c>
      <c r="B5" s="5">
        <v>45141</v>
      </c>
      <c r="C5" s="4" t="s">
        <v>39</v>
      </c>
      <c r="D5" s="4" t="s">
        <v>40</v>
      </c>
      <c r="E5" s="4" t="s">
        <v>41</v>
      </c>
      <c r="F5" s="4" t="s">
        <v>19</v>
      </c>
      <c r="G5" s="4" t="s">
        <v>20</v>
      </c>
      <c r="H5" s="4" t="s">
        <v>42</v>
      </c>
      <c r="I5" s="4">
        <v>2</v>
      </c>
      <c r="J5" s="4">
        <v>1100</v>
      </c>
      <c r="K5" s="4">
        <v>10</v>
      </c>
      <c r="L5" s="4">
        <v>1980</v>
      </c>
      <c r="M5" s="4" t="s">
        <v>43</v>
      </c>
      <c r="N5" s="4" t="s">
        <v>37</v>
      </c>
      <c r="O5" s="4">
        <v>2</v>
      </c>
      <c r="P5" s="6">
        <f t="shared" si="0"/>
        <v>2200</v>
      </c>
      <c r="Q5" s="6">
        <f t="shared" si="1"/>
        <v>220</v>
      </c>
      <c r="R5" s="6">
        <f t="shared" si="2"/>
        <v>396</v>
      </c>
      <c r="S5" s="6" t="str">
        <f t="shared" si="3"/>
        <v>Aug</v>
      </c>
      <c r="T5" s="6">
        <f t="shared" si="4"/>
        <v>2023</v>
      </c>
      <c r="U5" s="6" t="str">
        <f t="shared" si="5"/>
        <v>Fast</v>
      </c>
      <c r="V5" s="6" t="str">
        <f t="shared" si="6"/>
        <v>Normal</v>
      </c>
      <c r="W5" s="6" t="str">
        <f t="shared" si="7"/>
        <v>No</v>
      </c>
      <c r="AC5" s="13" t="s">
        <v>28</v>
      </c>
      <c r="AD5" s="28">
        <v>60894</v>
      </c>
    </row>
    <row r="6" spans="1:38" x14ac:dyDescent="0.3">
      <c r="A6" s="8" t="s">
        <v>44</v>
      </c>
      <c r="B6" s="3">
        <v>45152</v>
      </c>
      <c r="C6" s="2" t="s">
        <v>45</v>
      </c>
      <c r="D6" s="2" t="s">
        <v>46</v>
      </c>
      <c r="E6" s="2" t="s">
        <v>27</v>
      </c>
      <c r="F6" s="2" t="s">
        <v>19</v>
      </c>
      <c r="G6" s="2" t="s">
        <v>47</v>
      </c>
      <c r="H6" s="2" t="s">
        <v>48</v>
      </c>
      <c r="I6" s="2">
        <v>3</v>
      </c>
      <c r="J6" s="2">
        <v>320</v>
      </c>
      <c r="K6" s="2">
        <v>5</v>
      </c>
      <c r="L6" s="2">
        <v>912</v>
      </c>
      <c r="M6" s="2" t="s">
        <v>43</v>
      </c>
      <c r="N6" s="2" t="s">
        <v>23</v>
      </c>
      <c r="O6" s="2">
        <v>0</v>
      </c>
      <c r="P6" s="6">
        <f t="shared" si="0"/>
        <v>960</v>
      </c>
      <c r="Q6" s="6">
        <f t="shared" si="1"/>
        <v>48</v>
      </c>
      <c r="R6" s="6">
        <f t="shared" si="2"/>
        <v>182.4</v>
      </c>
      <c r="S6" s="6" t="str">
        <f t="shared" si="3"/>
        <v>Aug</v>
      </c>
      <c r="T6" s="6">
        <f t="shared" si="4"/>
        <v>2023</v>
      </c>
      <c r="U6" s="6" t="str">
        <f t="shared" si="5"/>
        <v>Fast</v>
      </c>
      <c r="V6" s="6" t="str">
        <f t="shared" si="6"/>
        <v>Normal</v>
      </c>
      <c r="W6" s="6" t="str">
        <f t="shared" si="7"/>
        <v>No</v>
      </c>
      <c r="Y6" s="26" cm="1">
        <f t="array" ref="Y6">SUM(Table1[Final_Price]/501)</f>
        <v>6777.2238522954076</v>
      </c>
      <c r="AC6" s="13" t="s">
        <v>149</v>
      </c>
      <c r="AD6" s="28">
        <v>61999.4</v>
      </c>
    </row>
    <row r="7" spans="1:38" x14ac:dyDescent="0.3">
      <c r="A7" s="9" t="s">
        <v>49</v>
      </c>
      <c r="B7" s="5">
        <v>45215</v>
      </c>
      <c r="C7" s="4" t="s">
        <v>50</v>
      </c>
      <c r="D7" s="4" t="s">
        <v>51</v>
      </c>
      <c r="E7" s="4" t="s">
        <v>52</v>
      </c>
      <c r="F7" s="4" t="s">
        <v>53</v>
      </c>
      <c r="G7" s="4" t="s">
        <v>54</v>
      </c>
      <c r="H7" s="4" t="s">
        <v>55</v>
      </c>
      <c r="I7" s="4">
        <v>3</v>
      </c>
      <c r="J7" s="4">
        <v>180</v>
      </c>
      <c r="K7" s="4">
        <v>0</v>
      </c>
      <c r="L7" s="4">
        <v>540</v>
      </c>
      <c r="M7" s="4" t="s">
        <v>22</v>
      </c>
      <c r="N7" s="4" t="s">
        <v>23</v>
      </c>
      <c r="O7" s="4">
        <v>0</v>
      </c>
      <c r="P7" s="6">
        <f t="shared" si="0"/>
        <v>540</v>
      </c>
      <c r="Q7" s="6">
        <f t="shared" si="1"/>
        <v>0</v>
      </c>
      <c r="R7" s="6">
        <f t="shared" si="2"/>
        <v>108</v>
      </c>
      <c r="S7" s="6" t="str">
        <f t="shared" si="3"/>
        <v>Oct</v>
      </c>
      <c r="T7" s="6">
        <f t="shared" si="4"/>
        <v>2023</v>
      </c>
      <c r="U7" s="6" t="str">
        <f t="shared" si="5"/>
        <v>Fast</v>
      </c>
      <c r="V7" s="6" t="str">
        <f t="shared" si="6"/>
        <v>Normal</v>
      </c>
      <c r="W7" s="6" t="str">
        <f t="shared" si="7"/>
        <v>No</v>
      </c>
      <c r="AC7" s="13" t="s">
        <v>69</v>
      </c>
      <c r="AD7" s="28">
        <v>203988</v>
      </c>
      <c r="AL7" s="15">
        <v>100000</v>
      </c>
    </row>
    <row r="8" spans="1:38" x14ac:dyDescent="0.3">
      <c r="A8" s="8" t="s">
        <v>56</v>
      </c>
      <c r="B8" s="3">
        <v>44992</v>
      </c>
      <c r="C8" s="2" t="s">
        <v>57</v>
      </c>
      <c r="D8" s="2" t="s">
        <v>58</v>
      </c>
      <c r="E8" s="2" t="s">
        <v>18</v>
      </c>
      <c r="F8" s="2" t="s">
        <v>19</v>
      </c>
      <c r="G8" s="2" t="s">
        <v>54</v>
      </c>
      <c r="H8" s="2" t="s">
        <v>59</v>
      </c>
      <c r="I8" s="2">
        <v>4</v>
      </c>
      <c r="J8" s="2">
        <v>160</v>
      </c>
      <c r="K8" s="2">
        <v>10</v>
      </c>
      <c r="L8" s="2">
        <v>576</v>
      </c>
      <c r="M8" s="2" t="s">
        <v>43</v>
      </c>
      <c r="N8" s="2" t="s">
        <v>37</v>
      </c>
      <c r="O8" s="2">
        <v>10</v>
      </c>
      <c r="P8" s="6">
        <f t="shared" si="0"/>
        <v>640</v>
      </c>
      <c r="Q8" s="6">
        <f t="shared" si="1"/>
        <v>64</v>
      </c>
      <c r="R8" s="6">
        <f t="shared" si="2"/>
        <v>115.2</v>
      </c>
      <c r="S8" s="6" t="str">
        <f t="shared" si="3"/>
        <v>Mar</v>
      </c>
      <c r="T8" s="6">
        <f t="shared" si="4"/>
        <v>2023</v>
      </c>
      <c r="U8" s="6" t="str">
        <f t="shared" si="5"/>
        <v>Delayed</v>
      </c>
      <c r="V8" s="6" t="str">
        <f t="shared" si="6"/>
        <v>Normal</v>
      </c>
      <c r="W8" s="6" t="str">
        <f t="shared" si="7"/>
        <v>No</v>
      </c>
      <c r="AC8" s="13" t="s">
        <v>91</v>
      </c>
      <c r="AD8" s="28">
        <v>2305480</v>
      </c>
    </row>
    <row r="9" spans="1:38" x14ac:dyDescent="0.3">
      <c r="A9" s="9" t="s">
        <v>60</v>
      </c>
      <c r="B9" s="5">
        <v>44960</v>
      </c>
      <c r="C9" s="4" t="s">
        <v>61</v>
      </c>
      <c r="D9" s="4" t="s">
        <v>62</v>
      </c>
      <c r="E9" s="4" t="s">
        <v>35</v>
      </c>
      <c r="F9" s="4" t="s">
        <v>19</v>
      </c>
      <c r="G9" s="4" t="s">
        <v>20</v>
      </c>
      <c r="H9" s="4" t="s">
        <v>63</v>
      </c>
      <c r="I9" s="4">
        <v>2</v>
      </c>
      <c r="J9" s="4">
        <v>2800</v>
      </c>
      <c r="K9" s="4">
        <v>10</v>
      </c>
      <c r="L9" s="4">
        <v>5040</v>
      </c>
      <c r="M9" s="4" t="s">
        <v>43</v>
      </c>
      <c r="N9" s="4" t="s">
        <v>64</v>
      </c>
      <c r="O9" s="4">
        <v>3</v>
      </c>
      <c r="P9" s="6">
        <f t="shared" si="0"/>
        <v>5600</v>
      </c>
      <c r="Q9" s="6">
        <f t="shared" si="1"/>
        <v>560</v>
      </c>
      <c r="R9" s="6">
        <f t="shared" si="2"/>
        <v>1008</v>
      </c>
      <c r="S9" s="6" t="str">
        <f t="shared" si="3"/>
        <v>Feb</v>
      </c>
      <c r="T9" s="6">
        <f t="shared" si="4"/>
        <v>2023</v>
      </c>
      <c r="U9" s="6" t="str">
        <f t="shared" si="5"/>
        <v>Fast</v>
      </c>
      <c r="V9" s="6" t="str">
        <f t="shared" si="6"/>
        <v>High Value</v>
      </c>
      <c r="W9" s="6" t="str">
        <f t="shared" si="7"/>
        <v>No</v>
      </c>
      <c r="AC9" s="13" t="s">
        <v>54</v>
      </c>
      <c r="AD9" s="28">
        <v>33383.75</v>
      </c>
    </row>
    <row r="10" spans="1:38" x14ac:dyDescent="0.3">
      <c r="A10" s="8" t="s">
        <v>65</v>
      </c>
      <c r="B10" s="3">
        <v>45400</v>
      </c>
      <c r="C10" s="2" t="s">
        <v>66</v>
      </c>
      <c r="D10" s="2" t="s">
        <v>67</v>
      </c>
      <c r="E10" s="2" t="s">
        <v>68</v>
      </c>
      <c r="F10" s="2" t="s">
        <v>19</v>
      </c>
      <c r="G10" s="2" t="s">
        <v>69</v>
      </c>
      <c r="H10" s="2" t="s">
        <v>70</v>
      </c>
      <c r="I10" s="2">
        <v>3</v>
      </c>
      <c r="J10" s="2">
        <v>850</v>
      </c>
      <c r="K10" s="2">
        <v>0</v>
      </c>
      <c r="L10" s="2">
        <v>2550</v>
      </c>
      <c r="M10" s="2" t="s">
        <v>71</v>
      </c>
      <c r="N10" s="2" t="s">
        <v>37</v>
      </c>
      <c r="O10" s="2">
        <v>4</v>
      </c>
      <c r="P10" s="6">
        <f t="shared" si="0"/>
        <v>2550</v>
      </c>
      <c r="Q10" s="6">
        <f t="shared" si="1"/>
        <v>0</v>
      </c>
      <c r="R10" s="6">
        <f t="shared" si="2"/>
        <v>510</v>
      </c>
      <c r="S10" s="6" t="str">
        <f t="shared" si="3"/>
        <v>Apr</v>
      </c>
      <c r="T10" s="6">
        <f t="shared" si="4"/>
        <v>2024</v>
      </c>
      <c r="U10" s="6" t="str">
        <f t="shared" si="5"/>
        <v>Delayed</v>
      </c>
      <c r="V10" s="6" t="str">
        <f t="shared" si="6"/>
        <v>Normal</v>
      </c>
      <c r="W10" s="6" t="str">
        <f t="shared" si="7"/>
        <v>No</v>
      </c>
      <c r="AC10" s="13" t="s">
        <v>126</v>
      </c>
      <c r="AD10" s="28">
        <v>431084</v>
      </c>
    </row>
    <row r="11" spans="1:38" x14ac:dyDescent="0.3">
      <c r="A11" s="9" t="s">
        <v>72</v>
      </c>
      <c r="B11" s="5">
        <v>45167</v>
      </c>
      <c r="C11" s="4" t="s">
        <v>73</v>
      </c>
      <c r="D11" s="4" t="s">
        <v>74</v>
      </c>
      <c r="E11" s="4" t="s">
        <v>41</v>
      </c>
      <c r="F11" s="4" t="s">
        <v>19</v>
      </c>
      <c r="G11" s="4" t="s">
        <v>54</v>
      </c>
      <c r="H11" s="4" t="s">
        <v>75</v>
      </c>
      <c r="I11" s="4">
        <v>2</v>
      </c>
      <c r="J11" s="4">
        <v>55</v>
      </c>
      <c r="K11" s="4">
        <v>10</v>
      </c>
      <c r="L11" s="4">
        <v>99</v>
      </c>
      <c r="M11" s="4" t="s">
        <v>71</v>
      </c>
      <c r="N11" s="4" t="s">
        <v>37</v>
      </c>
      <c r="O11" s="4">
        <v>6</v>
      </c>
      <c r="P11" s="6">
        <f t="shared" si="0"/>
        <v>110</v>
      </c>
      <c r="Q11" s="6">
        <f t="shared" si="1"/>
        <v>11</v>
      </c>
      <c r="R11" s="6">
        <f t="shared" si="2"/>
        <v>19.8</v>
      </c>
      <c r="S11" s="6" t="str">
        <f t="shared" si="3"/>
        <v>Aug</v>
      </c>
      <c r="T11" s="6">
        <f t="shared" si="4"/>
        <v>2023</v>
      </c>
      <c r="U11" s="6" t="str">
        <f t="shared" si="5"/>
        <v>Delayed</v>
      </c>
      <c r="V11" s="6" t="str">
        <f t="shared" si="6"/>
        <v>Normal</v>
      </c>
      <c r="W11" s="6" t="str">
        <f t="shared" si="7"/>
        <v>No</v>
      </c>
      <c r="Y11" s="16" t="s">
        <v>1260</v>
      </c>
      <c r="Z11" s="17">
        <f>COUNTA(Table1[Customer_ID])</f>
        <v>500</v>
      </c>
      <c r="AA11" s="18"/>
      <c r="AC11" s="13" t="s">
        <v>20</v>
      </c>
      <c r="AD11" s="28">
        <v>164140</v>
      </c>
    </row>
    <row r="12" spans="1:38" x14ac:dyDescent="0.3">
      <c r="A12" s="8" t="s">
        <v>76</v>
      </c>
      <c r="B12" s="3">
        <v>45263</v>
      </c>
      <c r="C12" s="2" t="s">
        <v>77</v>
      </c>
      <c r="D12" s="2" t="s">
        <v>78</v>
      </c>
      <c r="E12" s="2" t="s">
        <v>79</v>
      </c>
      <c r="F12" s="2" t="s">
        <v>79</v>
      </c>
      <c r="G12" s="2" t="s">
        <v>28</v>
      </c>
      <c r="H12" s="2" t="s">
        <v>29</v>
      </c>
      <c r="I12" s="2">
        <v>2</v>
      </c>
      <c r="J12" s="2">
        <v>1200</v>
      </c>
      <c r="K12" s="2">
        <v>0</v>
      </c>
      <c r="L12" s="2">
        <v>2400</v>
      </c>
      <c r="M12" s="2" t="s">
        <v>22</v>
      </c>
      <c r="N12" s="2" t="s">
        <v>23</v>
      </c>
      <c r="O12" s="2">
        <v>0</v>
      </c>
      <c r="P12" s="6">
        <f t="shared" si="0"/>
        <v>2400</v>
      </c>
      <c r="Q12" s="6">
        <f t="shared" si="1"/>
        <v>0</v>
      </c>
      <c r="R12" s="6">
        <f t="shared" si="2"/>
        <v>480</v>
      </c>
      <c r="S12" s="6" t="str">
        <f t="shared" si="3"/>
        <v>Dec</v>
      </c>
      <c r="T12" s="6">
        <f t="shared" si="4"/>
        <v>2023</v>
      </c>
      <c r="U12" s="6" t="str">
        <f t="shared" si="5"/>
        <v>Fast</v>
      </c>
      <c r="V12" s="6" t="str">
        <f t="shared" si="6"/>
        <v>Normal</v>
      </c>
      <c r="W12" s="6" t="str">
        <f t="shared" si="7"/>
        <v>Yes</v>
      </c>
      <c r="Y12" s="19" t="s">
        <v>1262</v>
      </c>
      <c r="Z12" s="20">
        <v>304</v>
      </c>
      <c r="AA12" s="21"/>
      <c r="AC12" s="13" t="s">
        <v>47</v>
      </c>
      <c r="AD12" s="28">
        <v>134420</v>
      </c>
    </row>
    <row r="13" spans="1:38" x14ac:dyDescent="0.3">
      <c r="A13" s="9" t="s">
        <v>80</v>
      </c>
      <c r="B13" s="5">
        <v>45200</v>
      </c>
      <c r="C13" s="4" t="s">
        <v>81</v>
      </c>
      <c r="D13" s="4" t="s">
        <v>82</v>
      </c>
      <c r="E13" s="4" t="s">
        <v>83</v>
      </c>
      <c r="F13" s="4" t="s">
        <v>19</v>
      </c>
      <c r="G13" s="4" t="s">
        <v>54</v>
      </c>
      <c r="H13" s="4" t="s">
        <v>84</v>
      </c>
      <c r="I13" s="4">
        <v>3</v>
      </c>
      <c r="J13" s="4">
        <v>280</v>
      </c>
      <c r="K13" s="4">
        <v>5</v>
      </c>
      <c r="L13" s="4">
        <v>798</v>
      </c>
      <c r="M13" s="4" t="s">
        <v>30</v>
      </c>
      <c r="N13" s="4" t="s">
        <v>37</v>
      </c>
      <c r="O13" s="4">
        <v>7</v>
      </c>
      <c r="P13" s="6">
        <f t="shared" si="0"/>
        <v>840</v>
      </c>
      <c r="Q13" s="6">
        <f t="shared" si="1"/>
        <v>42</v>
      </c>
      <c r="R13" s="6">
        <f t="shared" si="2"/>
        <v>159.60000000000002</v>
      </c>
      <c r="S13" s="6" t="str">
        <f t="shared" si="3"/>
        <v>Oct</v>
      </c>
      <c r="T13" s="6">
        <f t="shared" si="4"/>
        <v>2023</v>
      </c>
      <c r="U13" s="6" t="str">
        <f t="shared" si="5"/>
        <v>Delayed</v>
      </c>
      <c r="V13" s="6" t="str">
        <f t="shared" si="6"/>
        <v>Normal</v>
      </c>
      <c r="W13" s="6" t="str">
        <f t="shared" si="7"/>
        <v>Yes</v>
      </c>
      <c r="Y13" s="16" t="s">
        <v>1263</v>
      </c>
      <c r="Z13" s="17">
        <v>196</v>
      </c>
      <c r="AA13" s="18"/>
      <c r="AC13" s="13" t="s">
        <v>1249</v>
      </c>
      <c r="AD13" s="28">
        <v>3395389.15</v>
      </c>
    </row>
    <row r="14" spans="1:38" x14ac:dyDescent="0.3">
      <c r="A14" s="8" t="s">
        <v>85</v>
      </c>
      <c r="B14" s="3">
        <v>45122</v>
      </c>
      <c r="C14" s="2" t="s">
        <v>50</v>
      </c>
      <c r="D14" s="2" t="s">
        <v>51</v>
      </c>
      <c r="E14" s="2" t="s">
        <v>52</v>
      </c>
      <c r="F14" s="2" t="s">
        <v>53</v>
      </c>
      <c r="G14" s="2" t="s">
        <v>54</v>
      </c>
      <c r="H14" s="2" t="s">
        <v>86</v>
      </c>
      <c r="I14" s="2">
        <v>2</v>
      </c>
      <c r="J14" s="2">
        <v>450</v>
      </c>
      <c r="K14" s="2">
        <v>5</v>
      </c>
      <c r="L14" s="2">
        <v>855</v>
      </c>
      <c r="M14" s="2" t="s">
        <v>43</v>
      </c>
      <c r="N14" s="2" t="s">
        <v>37</v>
      </c>
      <c r="O14" s="2">
        <v>7</v>
      </c>
      <c r="P14" s="6">
        <f t="shared" si="0"/>
        <v>900</v>
      </c>
      <c r="Q14" s="6">
        <f t="shared" si="1"/>
        <v>45</v>
      </c>
      <c r="R14" s="6">
        <f t="shared" si="2"/>
        <v>171</v>
      </c>
      <c r="S14" s="6" t="str">
        <f t="shared" si="3"/>
        <v>Jul</v>
      </c>
      <c r="T14" s="6">
        <f t="shared" si="4"/>
        <v>2023</v>
      </c>
      <c r="U14" s="6" t="str">
        <f t="shared" si="5"/>
        <v>Delayed</v>
      </c>
      <c r="V14" s="6" t="str">
        <f t="shared" si="6"/>
        <v>Normal</v>
      </c>
      <c r="W14" s="6" t="str">
        <f t="shared" si="7"/>
        <v>Yes</v>
      </c>
      <c r="Y14" s="22" t="s">
        <v>1261</v>
      </c>
      <c r="Z14" s="23">
        <f>COUNTIF(Table2[Customer_Level],"Premium")</f>
        <v>57</v>
      </c>
      <c r="AA14" s="24"/>
    </row>
    <row r="15" spans="1:38" x14ac:dyDescent="0.3">
      <c r="A15" s="9" t="s">
        <v>87</v>
      </c>
      <c r="B15" s="5">
        <v>45357</v>
      </c>
      <c r="C15" s="4" t="s">
        <v>88</v>
      </c>
      <c r="D15" s="4" t="s">
        <v>89</v>
      </c>
      <c r="E15" s="4" t="s">
        <v>90</v>
      </c>
      <c r="F15" s="4" t="s">
        <v>19</v>
      </c>
      <c r="G15" s="4" t="s">
        <v>91</v>
      </c>
      <c r="H15" s="4" t="s">
        <v>92</v>
      </c>
      <c r="I15" s="4">
        <v>2</v>
      </c>
      <c r="J15" s="4">
        <v>2200</v>
      </c>
      <c r="K15" s="4">
        <v>5</v>
      </c>
      <c r="L15" s="4">
        <v>4180</v>
      </c>
      <c r="M15" s="4" t="s">
        <v>71</v>
      </c>
      <c r="N15" s="4" t="s">
        <v>64</v>
      </c>
      <c r="O15" s="4">
        <v>3</v>
      </c>
      <c r="P15" s="6">
        <f t="shared" si="0"/>
        <v>4400</v>
      </c>
      <c r="Q15" s="6">
        <f t="shared" si="1"/>
        <v>220</v>
      </c>
      <c r="R15" s="6">
        <f t="shared" si="2"/>
        <v>836</v>
      </c>
      <c r="S15" s="6" t="str">
        <f t="shared" si="3"/>
        <v>Mar</v>
      </c>
      <c r="T15" s="6">
        <f t="shared" si="4"/>
        <v>2024</v>
      </c>
      <c r="U15" s="6" t="str">
        <f t="shared" si="5"/>
        <v>Fast</v>
      </c>
      <c r="V15" s="6" t="str">
        <f t="shared" si="6"/>
        <v>Normal</v>
      </c>
      <c r="W15" s="6" t="str">
        <f t="shared" si="7"/>
        <v>No</v>
      </c>
    </row>
    <row r="16" spans="1:38" x14ac:dyDescent="0.3">
      <c r="A16" s="8" t="s">
        <v>93</v>
      </c>
      <c r="B16" s="3">
        <v>45420</v>
      </c>
      <c r="C16" s="2" t="s">
        <v>94</v>
      </c>
      <c r="D16" s="2" t="s">
        <v>95</v>
      </c>
      <c r="E16" s="2" t="s">
        <v>79</v>
      </c>
      <c r="F16" s="2" t="s">
        <v>79</v>
      </c>
      <c r="G16" s="2" t="s">
        <v>47</v>
      </c>
      <c r="H16" s="2" t="s">
        <v>96</v>
      </c>
      <c r="I16" s="2">
        <v>1</v>
      </c>
      <c r="J16" s="2">
        <v>380</v>
      </c>
      <c r="K16" s="2">
        <v>5</v>
      </c>
      <c r="L16" s="2">
        <v>361</v>
      </c>
      <c r="M16" s="2" t="s">
        <v>43</v>
      </c>
      <c r="N16" s="2" t="s">
        <v>64</v>
      </c>
      <c r="O16" s="2">
        <v>3</v>
      </c>
      <c r="P16" s="6">
        <f t="shared" si="0"/>
        <v>380</v>
      </c>
      <c r="Q16" s="6">
        <f t="shared" si="1"/>
        <v>19</v>
      </c>
      <c r="R16" s="6">
        <f t="shared" si="2"/>
        <v>72.2</v>
      </c>
      <c r="S16" s="6" t="str">
        <f t="shared" si="3"/>
        <v>May</v>
      </c>
      <c r="T16" s="6">
        <f t="shared" si="4"/>
        <v>2024</v>
      </c>
      <c r="U16" s="6" t="str">
        <f t="shared" si="5"/>
        <v>Fast</v>
      </c>
      <c r="V16" s="6" t="str">
        <f t="shared" si="6"/>
        <v>Normal</v>
      </c>
      <c r="W16" s="6" t="str">
        <f t="shared" si="7"/>
        <v>No</v>
      </c>
      <c r="AC16" s="12" t="s">
        <v>1248</v>
      </c>
      <c r="AD16" t="s">
        <v>1254</v>
      </c>
    </row>
    <row r="17" spans="1:31" x14ac:dyDescent="0.3">
      <c r="A17" s="9" t="s">
        <v>97</v>
      </c>
      <c r="B17" s="5">
        <v>45424</v>
      </c>
      <c r="C17" s="4" t="s">
        <v>45</v>
      </c>
      <c r="D17" s="4" t="s">
        <v>46</v>
      </c>
      <c r="E17" s="4" t="s">
        <v>27</v>
      </c>
      <c r="F17" s="4" t="s">
        <v>19</v>
      </c>
      <c r="G17" s="4" t="s">
        <v>28</v>
      </c>
      <c r="H17" s="4" t="s">
        <v>98</v>
      </c>
      <c r="I17" s="4">
        <v>1</v>
      </c>
      <c r="J17" s="4">
        <v>220</v>
      </c>
      <c r="K17" s="4">
        <v>20</v>
      </c>
      <c r="L17" s="4">
        <v>176</v>
      </c>
      <c r="M17" s="4" t="s">
        <v>71</v>
      </c>
      <c r="N17" s="4" t="s">
        <v>37</v>
      </c>
      <c r="O17" s="4">
        <v>4</v>
      </c>
      <c r="P17" s="6">
        <f t="shared" si="0"/>
        <v>220</v>
      </c>
      <c r="Q17" s="6">
        <f t="shared" si="1"/>
        <v>44</v>
      </c>
      <c r="R17" s="6">
        <f t="shared" si="2"/>
        <v>35.200000000000003</v>
      </c>
      <c r="S17" s="6" t="str">
        <f t="shared" si="3"/>
        <v>May</v>
      </c>
      <c r="T17" s="6">
        <f t="shared" si="4"/>
        <v>2024</v>
      </c>
      <c r="U17" s="6" t="str">
        <f t="shared" si="5"/>
        <v>Delayed</v>
      </c>
      <c r="V17" s="6" t="str">
        <f t="shared" si="6"/>
        <v>Normal</v>
      </c>
      <c r="W17" s="6" t="str">
        <f t="shared" si="7"/>
        <v>Yes</v>
      </c>
      <c r="AC17" s="13" t="s">
        <v>30</v>
      </c>
      <c r="AD17" s="28">
        <v>70</v>
      </c>
    </row>
    <row r="18" spans="1:31" x14ac:dyDescent="0.3">
      <c r="A18" s="8" t="s">
        <v>99</v>
      </c>
      <c r="B18" s="3">
        <v>45377</v>
      </c>
      <c r="C18" s="2" t="s">
        <v>100</v>
      </c>
      <c r="D18" s="2" t="s">
        <v>101</v>
      </c>
      <c r="E18" s="2" t="s">
        <v>27</v>
      </c>
      <c r="F18" s="2" t="s">
        <v>19</v>
      </c>
      <c r="G18" s="2" t="s">
        <v>47</v>
      </c>
      <c r="H18" s="2" t="s">
        <v>102</v>
      </c>
      <c r="I18" s="2">
        <v>1</v>
      </c>
      <c r="J18" s="2">
        <v>2200</v>
      </c>
      <c r="K18" s="2">
        <v>0</v>
      </c>
      <c r="L18" s="2">
        <v>2200</v>
      </c>
      <c r="M18" s="2" t="s">
        <v>71</v>
      </c>
      <c r="N18" s="2" t="s">
        <v>23</v>
      </c>
      <c r="O18" s="2">
        <v>0</v>
      </c>
      <c r="P18" s="6">
        <f t="shared" si="0"/>
        <v>2200</v>
      </c>
      <c r="Q18" s="6">
        <f t="shared" si="1"/>
        <v>0</v>
      </c>
      <c r="R18" s="6">
        <f t="shared" si="2"/>
        <v>440</v>
      </c>
      <c r="S18" s="6" t="str">
        <f t="shared" si="3"/>
        <v>Mar</v>
      </c>
      <c r="T18" s="6">
        <f t="shared" si="4"/>
        <v>2024</v>
      </c>
      <c r="U18" s="6" t="str">
        <f t="shared" si="5"/>
        <v>Fast</v>
      </c>
      <c r="V18" s="6" t="str">
        <f t="shared" si="6"/>
        <v>Normal</v>
      </c>
      <c r="W18" s="6" t="str">
        <f t="shared" si="7"/>
        <v>No</v>
      </c>
      <c r="AC18" s="13" t="s">
        <v>143</v>
      </c>
      <c r="AD18" s="28">
        <v>97</v>
      </c>
    </row>
    <row r="19" spans="1:31" x14ac:dyDescent="0.3">
      <c r="A19" s="9" t="s">
        <v>103</v>
      </c>
      <c r="B19" s="5">
        <v>45215</v>
      </c>
      <c r="C19" s="4" t="s">
        <v>104</v>
      </c>
      <c r="D19" s="4" t="s">
        <v>105</v>
      </c>
      <c r="E19" s="4" t="s">
        <v>106</v>
      </c>
      <c r="F19" s="4" t="s">
        <v>19</v>
      </c>
      <c r="G19" s="4" t="s">
        <v>69</v>
      </c>
      <c r="H19" s="4" t="s">
        <v>70</v>
      </c>
      <c r="I19" s="4">
        <v>4</v>
      </c>
      <c r="J19" s="4">
        <v>850</v>
      </c>
      <c r="K19" s="4">
        <v>15</v>
      </c>
      <c r="L19" s="4">
        <v>2890</v>
      </c>
      <c r="M19" s="4" t="s">
        <v>107</v>
      </c>
      <c r="N19" s="4" t="s">
        <v>37</v>
      </c>
      <c r="O19" s="4">
        <v>6</v>
      </c>
      <c r="P19" s="6">
        <f t="shared" si="0"/>
        <v>3400</v>
      </c>
      <c r="Q19" s="6">
        <f t="shared" si="1"/>
        <v>510</v>
      </c>
      <c r="R19" s="6">
        <f t="shared" si="2"/>
        <v>578</v>
      </c>
      <c r="S19" s="6" t="str">
        <f t="shared" si="3"/>
        <v>Oct</v>
      </c>
      <c r="T19" s="6">
        <f t="shared" si="4"/>
        <v>2023</v>
      </c>
      <c r="U19" s="6" t="str">
        <f t="shared" si="5"/>
        <v>Delayed</v>
      </c>
      <c r="V19" s="6" t="str">
        <f t="shared" si="6"/>
        <v>Normal</v>
      </c>
      <c r="W19" s="6" t="str">
        <f t="shared" si="7"/>
        <v>No</v>
      </c>
      <c r="Y19" t="s">
        <v>1270</v>
      </c>
      <c r="AC19" s="13" t="s">
        <v>22</v>
      </c>
      <c r="AD19" s="28">
        <v>90</v>
      </c>
    </row>
    <row r="20" spans="1:31" x14ac:dyDescent="0.3">
      <c r="A20" s="8" t="s">
        <v>108</v>
      </c>
      <c r="B20" s="3">
        <v>45452</v>
      </c>
      <c r="C20" s="2" t="s">
        <v>109</v>
      </c>
      <c r="D20" s="2" t="s">
        <v>110</v>
      </c>
      <c r="E20" s="2" t="s">
        <v>52</v>
      </c>
      <c r="F20" s="2" t="s">
        <v>53</v>
      </c>
      <c r="G20" s="2" t="s">
        <v>20</v>
      </c>
      <c r="H20" s="2" t="s">
        <v>111</v>
      </c>
      <c r="I20" s="2">
        <v>3</v>
      </c>
      <c r="J20" s="2">
        <v>250</v>
      </c>
      <c r="K20" s="2">
        <v>0</v>
      </c>
      <c r="L20" s="2">
        <v>750</v>
      </c>
      <c r="M20" s="2" t="s">
        <v>22</v>
      </c>
      <c r="N20" s="2" t="s">
        <v>64</v>
      </c>
      <c r="O20" s="2">
        <v>2</v>
      </c>
      <c r="P20" s="6">
        <f t="shared" si="0"/>
        <v>750</v>
      </c>
      <c r="Q20" s="6">
        <f t="shared" si="1"/>
        <v>0</v>
      </c>
      <c r="R20" s="6">
        <f t="shared" si="2"/>
        <v>150</v>
      </c>
      <c r="S20" s="6" t="str">
        <f t="shared" si="3"/>
        <v>Jun</v>
      </c>
      <c r="T20" s="6">
        <f t="shared" si="4"/>
        <v>2024</v>
      </c>
      <c r="U20" s="6" t="str">
        <f t="shared" si="5"/>
        <v>Fast</v>
      </c>
      <c r="V20" s="6" t="str">
        <f t="shared" si="6"/>
        <v>Normal</v>
      </c>
      <c r="W20" s="6" t="str">
        <f t="shared" si="7"/>
        <v>Yes</v>
      </c>
      <c r="Y20">
        <f>SUM(Table4[Total_Orders])</f>
        <v>727</v>
      </c>
      <c r="AC20" s="13" t="s">
        <v>71</v>
      </c>
      <c r="AD20" s="28">
        <v>57</v>
      </c>
    </row>
    <row r="21" spans="1:31" x14ac:dyDescent="0.3">
      <c r="A21" s="9" t="s">
        <v>112</v>
      </c>
      <c r="B21" s="5">
        <v>45248</v>
      </c>
      <c r="C21" s="4" t="s">
        <v>113</v>
      </c>
      <c r="D21" s="4" t="s">
        <v>114</v>
      </c>
      <c r="E21" s="4" t="s">
        <v>115</v>
      </c>
      <c r="F21" s="4" t="s">
        <v>19</v>
      </c>
      <c r="G21" s="4" t="s">
        <v>20</v>
      </c>
      <c r="H21" s="4" t="s">
        <v>116</v>
      </c>
      <c r="I21" s="4">
        <v>1</v>
      </c>
      <c r="J21" s="4">
        <v>450</v>
      </c>
      <c r="K21" s="4">
        <v>0</v>
      </c>
      <c r="L21" s="4">
        <v>450</v>
      </c>
      <c r="M21" s="4" t="s">
        <v>22</v>
      </c>
      <c r="N21" s="4" t="s">
        <v>37</v>
      </c>
      <c r="O21" s="4">
        <v>6</v>
      </c>
      <c r="P21" s="6">
        <f t="shared" si="0"/>
        <v>450</v>
      </c>
      <c r="Q21" s="6">
        <f t="shared" si="1"/>
        <v>0</v>
      </c>
      <c r="R21" s="6">
        <f t="shared" si="2"/>
        <v>90</v>
      </c>
      <c r="S21" s="6" t="str">
        <f t="shared" si="3"/>
        <v>Nov</v>
      </c>
      <c r="T21" s="6">
        <f t="shared" si="4"/>
        <v>2023</v>
      </c>
      <c r="U21" s="6" t="str">
        <f t="shared" si="5"/>
        <v>Delayed</v>
      </c>
      <c r="V21" s="6" t="str">
        <f t="shared" si="6"/>
        <v>Normal</v>
      </c>
      <c r="W21" s="6" t="str">
        <f t="shared" si="7"/>
        <v>Yes</v>
      </c>
      <c r="AC21" s="13" t="s">
        <v>43</v>
      </c>
      <c r="AD21" s="28">
        <v>136</v>
      </c>
    </row>
    <row r="22" spans="1:31" x14ac:dyDescent="0.3">
      <c r="A22" s="8" t="s">
        <v>117</v>
      </c>
      <c r="B22" s="3">
        <v>45081</v>
      </c>
      <c r="C22" s="2" t="s">
        <v>118</v>
      </c>
      <c r="D22" s="2" t="s">
        <v>119</v>
      </c>
      <c r="E22" s="2" t="s">
        <v>35</v>
      </c>
      <c r="F22" s="2" t="s">
        <v>19</v>
      </c>
      <c r="G22" s="2" t="s">
        <v>91</v>
      </c>
      <c r="H22" s="2" t="s">
        <v>120</v>
      </c>
      <c r="I22" s="2">
        <v>1</v>
      </c>
      <c r="J22" s="2">
        <v>22000</v>
      </c>
      <c r="K22" s="2">
        <v>10</v>
      </c>
      <c r="L22" s="2">
        <v>19800</v>
      </c>
      <c r="M22" s="2" t="s">
        <v>71</v>
      </c>
      <c r="N22" s="2" t="s">
        <v>37</v>
      </c>
      <c r="O22" s="2">
        <v>3</v>
      </c>
      <c r="P22" s="6">
        <f t="shared" si="0"/>
        <v>22000</v>
      </c>
      <c r="Q22" s="6">
        <f t="shared" si="1"/>
        <v>2200</v>
      </c>
      <c r="R22" s="6">
        <f t="shared" si="2"/>
        <v>3960</v>
      </c>
      <c r="S22" s="6" t="str">
        <f t="shared" si="3"/>
        <v>Jun</v>
      </c>
      <c r="T22" s="6">
        <f t="shared" si="4"/>
        <v>2023</v>
      </c>
      <c r="U22" s="6" t="str">
        <f t="shared" si="5"/>
        <v>Fast</v>
      </c>
      <c r="V22" s="6" t="str">
        <f t="shared" si="6"/>
        <v>High Value</v>
      </c>
      <c r="W22" s="6" t="str">
        <f t="shared" si="7"/>
        <v>Yes</v>
      </c>
      <c r="AC22" s="13" t="s">
        <v>107</v>
      </c>
      <c r="AD22" s="28">
        <v>50</v>
      </c>
    </row>
    <row r="23" spans="1:31" x14ac:dyDescent="0.3">
      <c r="A23" s="9" t="s">
        <v>121</v>
      </c>
      <c r="B23" s="5">
        <v>45391</v>
      </c>
      <c r="C23" s="4" t="s">
        <v>122</v>
      </c>
      <c r="D23" s="4" t="s">
        <v>123</v>
      </c>
      <c r="E23" s="4" t="s">
        <v>68</v>
      </c>
      <c r="F23" s="4" t="s">
        <v>19</v>
      </c>
      <c r="G23" s="4" t="s">
        <v>91</v>
      </c>
      <c r="H23" s="4" t="s">
        <v>124</v>
      </c>
      <c r="I23" s="4">
        <v>1</v>
      </c>
      <c r="J23" s="4">
        <v>18000</v>
      </c>
      <c r="K23" s="4">
        <v>15</v>
      </c>
      <c r="L23" s="4">
        <v>15300</v>
      </c>
      <c r="M23" s="4" t="s">
        <v>22</v>
      </c>
      <c r="N23" s="4" t="s">
        <v>23</v>
      </c>
      <c r="O23" s="4">
        <v>0</v>
      </c>
      <c r="P23" s="6">
        <f t="shared" si="0"/>
        <v>18000</v>
      </c>
      <c r="Q23" s="6">
        <f t="shared" si="1"/>
        <v>2700</v>
      </c>
      <c r="R23" s="6">
        <f t="shared" si="2"/>
        <v>3060</v>
      </c>
      <c r="S23" s="6" t="str">
        <f t="shared" si="3"/>
        <v>Apr</v>
      </c>
      <c r="T23" s="6">
        <f t="shared" si="4"/>
        <v>2024</v>
      </c>
      <c r="U23" s="6" t="str">
        <f t="shared" si="5"/>
        <v>Fast</v>
      </c>
      <c r="V23" s="6" t="str">
        <f t="shared" si="6"/>
        <v>High Value</v>
      </c>
      <c r="W23" s="6" t="str">
        <f t="shared" si="7"/>
        <v>No</v>
      </c>
      <c r="AC23" s="13" t="s">
        <v>1249</v>
      </c>
      <c r="AD23" s="28">
        <v>500</v>
      </c>
    </row>
    <row r="24" spans="1:31" x14ac:dyDescent="0.3">
      <c r="A24" s="8" t="s">
        <v>125</v>
      </c>
      <c r="B24" s="3">
        <v>45349</v>
      </c>
      <c r="C24" s="2" t="s">
        <v>104</v>
      </c>
      <c r="D24" s="2" t="s">
        <v>105</v>
      </c>
      <c r="E24" s="2" t="s">
        <v>106</v>
      </c>
      <c r="F24" s="2" t="s">
        <v>19</v>
      </c>
      <c r="G24" s="2" t="s">
        <v>126</v>
      </c>
      <c r="H24" s="2" t="s">
        <v>127</v>
      </c>
      <c r="I24" s="2">
        <v>2</v>
      </c>
      <c r="J24" s="2">
        <v>850</v>
      </c>
      <c r="K24" s="2">
        <v>10</v>
      </c>
      <c r="L24" s="2">
        <v>1530</v>
      </c>
      <c r="M24" s="2" t="s">
        <v>43</v>
      </c>
      <c r="N24" s="2" t="s">
        <v>31</v>
      </c>
      <c r="O24" s="2">
        <v>4</v>
      </c>
      <c r="P24" s="6">
        <f t="shared" si="0"/>
        <v>1700</v>
      </c>
      <c r="Q24" s="6">
        <f t="shared" si="1"/>
        <v>170</v>
      </c>
      <c r="R24" s="6">
        <f t="shared" si="2"/>
        <v>306</v>
      </c>
      <c r="S24" s="6" t="str">
        <f t="shared" si="3"/>
        <v>Feb</v>
      </c>
      <c r="T24" s="6">
        <f t="shared" si="4"/>
        <v>2024</v>
      </c>
      <c r="U24" s="6" t="str">
        <f t="shared" si="5"/>
        <v>Delayed</v>
      </c>
      <c r="V24" s="6" t="str">
        <f t="shared" si="6"/>
        <v>Normal</v>
      </c>
      <c r="W24" s="6" t="str">
        <f t="shared" si="7"/>
        <v>No</v>
      </c>
    </row>
    <row r="25" spans="1:31" x14ac:dyDescent="0.3">
      <c r="A25" s="9" t="s">
        <v>128</v>
      </c>
      <c r="B25" s="5">
        <v>45054</v>
      </c>
      <c r="C25" s="4" t="s">
        <v>16</v>
      </c>
      <c r="D25" s="4" t="s">
        <v>17</v>
      </c>
      <c r="E25" s="4" t="s">
        <v>18</v>
      </c>
      <c r="F25" s="4" t="s">
        <v>19</v>
      </c>
      <c r="G25" s="4" t="s">
        <v>28</v>
      </c>
      <c r="H25" s="4" t="s">
        <v>129</v>
      </c>
      <c r="I25" s="4">
        <v>4</v>
      </c>
      <c r="J25" s="4">
        <v>380</v>
      </c>
      <c r="K25" s="4">
        <v>10</v>
      </c>
      <c r="L25" s="4">
        <v>1368</v>
      </c>
      <c r="M25" s="4" t="s">
        <v>43</v>
      </c>
      <c r="N25" s="4" t="s">
        <v>23</v>
      </c>
      <c r="O25" s="4">
        <v>0</v>
      </c>
      <c r="P25" s="6">
        <f t="shared" si="0"/>
        <v>1520</v>
      </c>
      <c r="Q25" s="6">
        <f t="shared" si="1"/>
        <v>152</v>
      </c>
      <c r="R25" s="6">
        <f t="shared" si="2"/>
        <v>273.60000000000002</v>
      </c>
      <c r="S25" s="6" t="str">
        <f t="shared" si="3"/>
        <v>May</v>
      </c>
      <c r="T25" s="6">
        <f t="shared" si="4"/>
        <v>2023</v>
      </c>
      <c r="U25" s="6" t="str">
        <f t="shared" si="5"/>
        <v>Fast</v>
      </c>
      <c r="V25" s="6" t="str">
        <f t="shared" si="6"/>
        <v>Normal</v>
      </c>
      <c r="W25" s="6" t="str">
        <f t="shared" si="7"/>
        <v>No</v>
      </c>
    </row>
    <row r="26" spans="1:31" x14ac:dyDescent="0.3">
      <c r="A26" s="8" t="s">
        <v>130</v>
      </c>
      <c r="B26" s="3">
        <v>45379</v>
      </c>
      <c r="C26" s="2" t="s">
        <v>131</v>
      </c>
      <c r="D26" s="2" t="s">
        <v>132</v>
      </c>
      <c r="E26" s="2" t="s">
        <v>133</v>
      </c>
      <c r="F26" s="2" t="s">
        <v>19</v>
      </c>
      <c r="G26" s="2" t="s">
        <v>126</v>
      </c>
      <c r="H26" s="2" t="s">
        <v>127</v>
      </c>
      <c r="I26" s="2">
        <v>1</v>
      </c>
      <c r="J26" s="2">
        <v>850</v>
      </c>
      <c r="K26" s="2">
        <v>20</v>
      </c>
      <c r="L26" s="2">
        <v>680</v>
      </c>
      <c r="M26" s="2" t="s">
        <v>107</v>
      </c>
      <c r="N26" s="2" t="s">
        <v>23</v>
      </c>
      <c r="O26" s="2">
        <v>0</v>
      </c>
      <c r="P26" s="6">
        <f t="shared" si="0"/>
        <v>850</v>
      </c>
      <c r="Q26" s="6">
        <f t="shared" si="1"/>
        <v>170</v>
      </c>
      <c r="R26" s="6">
        <f t="shared" si="2"/>
        <v>136</v>
      </c>
      <c r="S26" s="6" t="str">
        <f t="shared" si="3"/>
        <v>Mar</v>
      </c>
      <c r="T26" s="6">
        <f t="shared" si="4"/>
        <v>2024</v>
      </c>
      <c r="U26" s="6" t="str">
        <f t="shared" si="5"/>
        <v>Fast</v>
      </c>
      <c r="V26" s="6" t="str">
        <f t="shared" si="6"/>
        <v>Normal</v>
      </c>
      <c r="W26" s="6" t="str">
        <f t="shared" si="7"/>
        <v>No</v>
      </c>
      <c r="AC26" s="12" t="s">
        <v>1248</v>
      </c>
      <c r="AD26" t="s">
        <v>1251</v>
      </c>
      <c r="AE26" t="s">
        <v>1252</v>
      </c>
    </row>
    <row r="27" spans="1:31" x14ac:dyDescent="0.3">
      <c r="A27" s="9" t="s">
        <v>134</v>
      </c>
      <c r="B27" s="5">
        <v>45332</v>
      </c>
      <c r="C27" s="4" t="s">
        <v>135</v>
      </c>
      <c r="D27" s="4" t="s">
        <v>136</v>
      </c>
      <c r="E27" s="4" t="s">
        <v>137</v>
      </c>
      <c r="F27" s="4" t="s">
        <v>19</v>
      </c>
      <c r="G27" s="4" t="s">
        <v>47</v>
      </c>
      <c r="H27" s="4" t="s">
        <v>138</v>
      </c>
      <c r="I27" s="4">
        <v>2</v>
      </c>
      <c r="J27" s="4">
        <v>280</v>
      </c>
      <c r="K27" s="4">
        <v>0</v>
      </c>
      <c r="L27" s="4">
        <v>560</v>
      </c>
      <c r="M27" s="4" t="s">
        <v>30</v>
      </c>
      <c r="N27" s="4" t="s">
        <v>64</v>
      </c>
      <c r="O27" s="4">
        <v>5</v>
      </c>
      <c r="P27" s="6">
        <f t="shared" si="0"/>
        <v>560</v>
      </c>
      <c r="Q27" s="6">
        <f t="shared" si="1"/>
        <v>0</v>
      </c>
      <c r="R27" s="6">
        <f t="shared" si="2"/>
        <v>112</v>
      </c>
      <c r="S27" s="6" t="str">
        <f t="shared" si="3"/>
        <v>Feb</v>
      </c>
      <c r="T27" s="6">
        <f t="shared" si="4"/>
        <v>2024</v>
      </c>
      <c r="U27" s="6" t="str">
        <f t="shared" si="5"/>
        <v>Delayed</v>
      </c>
      <c r="V27" s="6" t="str">
        <f t="shared" si="6"/>
        <v>Normal</v>
      </c>
      <c r="W27" s="6" t="str">
        <f t="shared" si="7"/>
        <v>Yes</v>
      </c>
      <c r="AC27" s="13" t="s">
        <v>253</v>
      </c>
      <c r="AD27" s="28">
        <v>483304.55</v>
      </c>
      <c r="AE27" s="28">
        <v>58</v>
      </c>
    </row>
    <row r="28" spans="1:31" x14ac:dyDescent="0.3">
      <c r="A28" s="8" t="s">
        <v>139</v>
      </c>
      <c r="B28" s="3">
        <v>45201</v>
      </c>
      <c r="C28" s="2" t="s">
        <v>140</v>
      </c>
      <c r="D28" s="2" t="s">
        <v>141</v>
      </c>
      <c r="E28" s="2" t="s">
        <v>68</v>
      </c>
      <c r="F28" s="2" t="s">
        <v>19</v>
      </c>
      <c r="G28" s="2" t="s">
        <v>69</v>
      </c>
      <c r="H28" s="2" t="s">
        <v>142</v>
      </c>
      <c r="I28" s="2">
        <v>3</v>
      </c>
      <c r="J28" s="2">
        <v>699</v>
      </c>
      <c r="K28" s="2">
        <v>0</v>
      </c>
      <c r="L28" s="2">
        <v>2097</v>
      </c>
      <c r="M28" s="2" t="s">
        <v>143</v>
      </c>
      <c r="N28" s="2" t="s">
        <v>64</v>
      </c>
      <c r="O28" s="2">
        <v>5</v>
      </c>
      <c r="P28" s="6">
        <f t="shared" si="0"/>
        <v>2097</v>
      </c>
      <c r="Q28" s="6">
        <f t="shared" si="1"/>
        <v>0</v>
      </c>
      <c r="R28" s="6">
        <f t="shared" si="2"/>
        <v>419.40000000000003</v>
      </c>
      <c r="S28" s="6" t="str">
        <f t="shared" si="3"/>
        <v>Oct</v>
      </c>
      <c r="T28" s="6">
        <f t="shared" si="4"/>
        <v>2023</v>
      </c>
      <c r="U28" s="6" t="str">
        <f t="shared" si="5"/>
        <v>Delayed</v>
      </c>
      <c r="V28" s="6" t="str">
        <f t="shared" si="6"/>
        <v>Normal</v>
      </c>
      <c r="W28" s="6" t="str">
        <f t="shared" si="7"/>
        <v>No</v>
      </c>
      <c r="AC28" s="13" t="s">
        <v>270</v>
      </c>
      <c r="AD28" s="28">
        <v>422087.95</v>
      </c>
      <c r="AE28" s="28">
        <v>61</v>
      </c>
    </row>
    <row r="29" spans="1:31" x14ac:dyDescent="0.3">
      <c r="A29" s="9" t="s">
        <v>144</v>
      </c>
      <c r="B29" s="5">
        <v>45413</v>
      </c>
      <c r="C29" s="4" t="s">
        <v>145</v>
      </c>
      <c r="D29" s="4" t="s">
        <v>146</v>
      </c>
      <c r="E29" s="4" t="s">
        <v>147</v>
      </c>
      <c r="F29" s="4" t="s">
        <v>19</v>
      </c>
      <c r="G29" s="4" t="s">
        <v>20</v>
      </c>
      <c r="H29" s="4" t="s">
        <v>42</v>
      </c>
      <c r="I29" s="4">
        <v>4</v>
      </c>
      <c r="J29" s="4">
        <v>1100</v>
      </c>
      <c r="K29" s="4">
        <v>20</v>
      </c>
      <c r="L29" s="4">
        <v>3520</v>
      </c>
      <c r="M29" s="4" t="s">
        <v>22</v>
      </c>
      <c r="N29" s="4" t="s">
        <v>37</v>
      </c>
      <c r="O29" s="4">
        <v>1</v>
      </c>
      <c r="P29" s="6">
        <f t="shared" si="0"/>
        <v>4400</v>
      </c>
      <c r="Q29" s="6">
        <f t="shared" si="1"/>
        <v>880</v>
      </c>
      <c r="R29" s="6">
        <f t="shared" si="2"/>
        <v>704</v>
      </c>
      <c r="S29" s="6" t="str">
        <f t="shared" si="3"/>
        <v>May</v>
      </c>
      <c r="T29" s="6">
        <f t="shared" si="4"/>
        <v>2024</v>
      </c>
      <c r="U29" s="6" t="str">
        <f t="shared" si="5"/>
        <v>Fast</v>
      </c>
      <c r="V29" s="6" t="str">
        <f t="shared" si="6"/>
        <v>Normal</v>
      </c>
      <c r="W29" s="6" t="str">
        <f t="shared" si="7"/>
        <v>No</v>
      </c>
      <c r="AC29" s="13" t="s">
        <v>176</v>
      </c>
      <c r="AD29" s="28">
        <v>299769.3</v>
      </c>
      <c r="AE29" s="28">
        <v>61</v>
      </c>
    </row>
    <row r="30" spans="1:31" x14ac:dyDescent="0.3">
      <c r="A30" s="8" t="s">
        <v>148</v>
      </c>
      <c r="B30" s="3">
        <v>45464</v>
      </c>
      <c r="C30" s="2" t="s">
        <v>16</v>
      </c>
      <c r="D30" s="2" t="s">
        <v>17</v>
      </c>
      <c r="E30" s="2" t="s">
        <v>18</v>
      </c>
      <c r="F30" s="2" t="s">
        <v>19</v>
      </c>
      <c r="G30" s="2" t="s">
        <v>149</v>
      </c>
      <c r="H30" s="2" t="s">
        <v>150</v>
      </c>
      <c r="I30" s="2">
        <v>2</v>
      </c>
      <c r="J30" s="2">
        <v>520</v>
      </c>
      <c r="K30" s="2">
        <v>5</v>
      </c>
      <c r="L30" s="2">
        <v>988</v>
      </c>
      <c r="M30" s="2" t="s">
        <v>43</v>
      </c>
      <c r="N30" s="2" t="s">
        <v>37</v>
      </c>
      <c r="O30" s="2">
        <v>5</v>
      </c>
      <c r="P30" s="6">
        <f t="shared" si="0"/>
        <v>1040</v>
      </c>
      <c r="Q30" s="6">
        <f t="shared" si="1"/>
        <v>52</v>
      </c>
      <c r="R30" s="6">
        <f t="shared" si="2"/>
        <v>197.60000000000002</v>
      </c>
      <c r="S30" s="6" t="str">
        <f t="shared" si="3"/>
        <v>Jun</v>
      </c>
      <c r="T30" s="6">
        <f t="shared" si="4"/>
        <v>2024</v>
      </c>
      <c r="U30" s="6" t="str">
        <f t="shared" si="5"/>
        <v>Delayed</v>
      </c>
      <c r="V30" s="6" t="str">
        <f t="shared" si="6"/>
        <v>Normal</v>
      </c>
      <c r="W30" s="6" t="str">
        <f t="shared" si="7"/>
        <v>No</v>
      </c>
      <c r="AC30" s="13" t="s">
        <v>52</v>
      </c>
      <c r="AD30" s="28">
        <v>267554.2</v>
      </c>
      <c r="AE30" s="28">
        <v>86</v>
      </c>
    </row>
    <row r="31" spans="1:31" x14ac:dyDescent="0.3">
      <c r="A31" s="9" t="s">
        <v>151</v>
      </c>
      <c r="B31" s="5">
        <v>45036</v>
      </c>
      <c r="C31" s="4" t="s">
        <v>152</v>
      </c>
      <c r="D31" s="4" t="s">
        <v>153</v>
      </c>
      <c r="E31" s="4" t="s">
        <v>154</v>
      </c>
      <c r="F31" s="4" t="s">
        <v>155</v>
      </c>
      <c r="G31" s="4" t="s">
        <v>28</v>
      </c>
      <c r="H31" s="4" t="s">
        <v>98</v>
      </c>
      <c r="I31" s="4">
        <v>2</v>
      </c>
      <c r="J31" s="4">
        <v>220</v>
      </c>
      <c r="K31" s="4">
        <v>5</v>
      </c>
      <c r="L31" s="4">
        <v>418</v>
      </c>
      <c r="M31" s="4" t="s">
        <v>30</v>
      </c>
      <c r="N31" s="4" t="s">
        <v>37</v>
      </c>
      <c r="O31" s="4">
        <v>2</v>
      </c>
      <c r="P31" s="6">
        <f t="shared" si="0"/>
        <v>440</v>
      </c>
      <c r="Q31" s="6">
        <f t="shared" si="1"/>
        <v>22</v>
      </c>
      <c r="R31" s="6">
        <f t="shared" si="2"/>
        <v>83.600000000000009</v>
      </c>
      <c r="S31" s="6" t="str">
        <f t="shared" si="3"/>
        <v>Apr</v>
      </c>
      <c r="T31" s="6">
        <f t="shared" si="4"/>
        <v>2023</v>
      </c>
      <c r="U31" s="6" t="str">
        <f t="shared" si="5"/>
        <v>Fast</v>
      </c>
      <c r="V31" s="6" t="str">
        <f t="shared" si="6"/>
        <v>Normal</v>
      </c>
      <c r="W31" s="6" t="str">
        <f t="shared" si="7"/>
        <v>No</v>
      </c>
      <c r="AC31" s="13" t="s">
        <v>41</v>
      </c>
      <c r="AD31" s="28">
        <v>237292.6</v>
      </c>
      <c r="AE31" s="28">
        <v>77</v>
      </c>
    </row>
    <row r="32" spans="1:31" x14ac:dyDescent="0.3">
      <c r="A32" s="8" t="s">
        <v>156</v>
      </c>
      <c r="B32" s="3">
        <v>44969</v>
      </c>
      <c r="C32" s="2" t="s">
        <v>157</v>
      </c>
      <c r="D32" s="2" t="s">
        <v>158</v>
      </c>
      <c r="E32" s="2" t="s">
        <v>159</v>
      </c>
      <c r="F32" s="2" t="s">
        <v>19</v>
      </c>
      <c r="G32" s="2" t="s">
        <v>20</v>
      </c>
      <c r="H32" s="2" t="s">
        <v>116</v>
      </c>
      <c r="I32" s="2">
        <v>1</v>
      </c>
      <c r="J32" s="2">
        <v>450</v>
      </c>
      <c r="K32" s="2">
        <v>20</v>
      </c>
      <c r="L32" s="2">
        <v>360</v>
      </c>
      <c r="M32" s="2" t="s">
        <v>143</v>
      </c>
      <c r="N32" s="2" t="s">
        <v>37</v>
      </c>
      <c r="O32" s="2">
        <v>2</v>
      </c>
      <c r="P32" s="6">
        <f t="shared" si="0"/>
        <v>450</v>
      </c>
      <c r="Q32" s="6">
        <f t="shared" si="1"/>
        <v>90</v>
      </c>
      <c r="R32" s="6">
        <f t="shared" si="2"/>
        <v>72</v>
      </c>
      <c r="S32" s="6" t="str">
        <f t="shared" si="3"/>
        <v>Feb</v>
      </c>
      <c r="T32" s="6">
        <f t="shared" si="4"/>
        <v>2023</v>
      </c>
      <c r="U32" s="6" t="str">
        <f t="shared" si="5"/>
        <v>Fast</v>
      </c>
      <c r="V32" s="6" t="str">
        <f t="shared" si="6"/>
        <v>Normal</v>
      </c>
      <c r="W32" s="6" t="str">
        <f t="shared" si="7"/>
        <v>Yes</v>
      </c>
      <c r="AC32" s="13" t="s">
        <v>35</v>
      </c>
      <c r="AD32" s="28">
        <v>235763.15</v>
      </c>
      <c r="AE32" s="28">
        <v>111</v>
      </c>
    </row>
    <row r="33" spans="1:31" x14ac:dyDescent="0.3">
      <c r="A33" s="9" t="s">
        <v>160</v>
      </c>
      <c r="B33" s="5">
        <v>45185</v>
      </c>
      <c r="C33" s="4" t="s">
        <v>161</v>
      </c>
      <c r="D33" s="4" t="s">
        <v>162</v>
      </c>
      <c r="E33" s="4" t="s">
        <v>83</v>
      </c>
      <c r="F33" s="4" t="s">
        <v>19</v>
      </c>
      <c r="G33" s="4" t="s">
        <v>91</v>
      </c>
      <c r="H33" s="4" t="s">
        <v>163</v>
      </c>
      <c r="I33" s="4">
        <v>4</v>
      </c>
      <c r="J33" s="4">
        <v>900</v>
      </c>
      <c r="K33" s="4">
        <v>15</v>
      </c>
      <c r="L33" s="4">
        <v>3060</v>
      </c>
      <c r="M33" s="4" t="s">
        <v>22</v>
      </c>
      <c r="N33" s="4" t="s">
        <v>37</v>
      </c>
      <c r="O33" s="4">
        <v>1</v>
      </c>
      <c r="P33" s="6">
        <f t="shared" si="0"/>
        <v>3600</v>
      </c>
      <c r="Q33" s="6">
        <f t="shared" si="1"/>
        <v>540</v>
      </c>
      <c r="R33" s="6">
        <f t="shared" si="2"/>
        <v>612</v>
      </c>
      <c r="S33" s="6" t="str">
        <f t="shared" si="3"/>
        <v>Sep</v>
      </c>
      <c r="T33" s="6">
        <f t="shared" si="4"/>
        <v>2023</v>
      </c>
      <c r="U33" s="6" t="str">
        <f t="shared" si="5"/>
        <v>Fast</v>
      </c>
      <c r="V33" s="6" t="str">
        <f t="shared" si="6"/>
        <v>Normal</v>
      </c>
      <c r="W33" s="6" t="str">
        <f t="shared" si="7"/>
        <v>Yes</v>
      </c>
      <c r="AC33" s="13" t="s">
        <v>171</v>
      </c>
      <c r="AD33" s="28">
        <v>200226.5</v>
      </c>
      <c r="AE33" s="28">
        <v>35</v>
      </c>
    </row>
    <row r="34" spans="1:31" x14ac:dyDescent="0.3">
      <c r="A34" s="8" t="s">
        <v>164</v>
      </c>
      <c r="B34" s="3">
        <v>45072</v>
      </c>
      <c r="C34" s="2" t="s">
        <v>165</v>
      </c>
      <c r="D34" s="2" t="s">
        <v>166</v>
      </c>
      <c r="E34" s="2" t="s">
        <v>27</v>
      </c>
      <c r="F34" s="2" t="s">
        <v>19</v>
      </c>
      <c r="G34" s="2" t="s">
        <v>28</v>
      </c>
      <c r="H34" s="2" t="s">
        <v>167</v>
      </c>
      <c r="I34" s="2">
        <v>1</v>
      </c>
      <c r="J34" s="2">
        <v>280</v>
      </c>
      <c r="K34" s="2">
        <v>15</v>
      </c>
      <c r="L34" s="2">
        <v>238</v>
      </c>
      <c r="M34" s="2" t="s">
        <v>30</v>
      </c>
      <c r="N34" s="2" t="s">
        <v>37</v>
      </c>
      <c r="O34" s="2">
        <v>6</v>
      </c>
      <c r="P34" s="6">
        <f t="shared" si="0"/>
        <v>280</v>
      </c>
      <c r="Q34" s="6">
        <f t="shared" si="1"/>
        <v>42</v>
      </c>
      <c r="R34" s="6">
        <f t="shared" si="2"/>
        <v>47.6</v>
      </c>
      <c r="S34" s="6" t="str">
        <f t="shared" si="3"/>
        <v>May</v>
      </c>
      <c r="T34" s="6">
        <f t="shared" si="4"/>
        <v>2023</v>
      </c>
      <c r="U34" s="6" t="str">
        <f t="shared" si="5"/>
        <v>Delayed</v>
      </c>
      <c r="V34" s="6" t="str">
        <f t="shared" si="6"/>
        <v>Normal</v>
      </c>
      <c r="W34" s="6" t="str">
        <f t="shared" si="7"/>
        <v>No</v>
      </c>
      <c r="AC34" s="13" t="s">
        <v>265</v>
      </c>
      <c r="AD34" s="28">
        <v>139297.79999999999</v>
      </c>
      <c r="AE34" s="28">
        <v>32</v>
      </c>
    </row>
    <row r="35" spans="1:31" x14ac:dyDescent="0.3">
      <c r="A35" s="9" t="s">
        <v>168</v>
      </c>
      <c r="B35" s="5">
        <v>44986</v>
      </c>
      <c r="C35" s="4" t="s">
        <v>169</v>
      </c>
      <c r="D35" s="4" t="s">
        <v>170</v>
      </c>
      <c r="E35" s="4" t="s">
        <v>171</v>
      </c>
      <c r="F35" s="4" t="s">
        <v>19</v>
      </c>
      <c r="G35" s="4" t="s">
        <v>54</v>
      </c>
      <c r="H35" s="4" t="s">
        <v>172</v>
      </c>
      <c r="I35" s="4">
        <v>3</v>
      </c>
      <c r="J35" s="4">
        <v>130</v>
      </c>
      <c r="K35" s="4">
        <v>0</v>
      </c>
      <c r="L35" s="4">
        <v>390</v>
      </c>
      <c r="M35" s="4" t="s">
        <v>22</v>
      </c>
      <c r="N35" s="4" t="s">
        <v>37</v>
      </c>
      <c r="O35" s="4">
        <v>8</v>
      </c>
      <c r="P35" s="6">
        <f t="shared" si="0"/>
        <v>390</v>
      </c>
      <c r="Q35" s="6">
        <f t="shared" si="1"/>
        <v>0</v>
      </c>
      <c r="R35" s="6">
        <f t="shared" si="2"/>
        <v>78</v>
      </c>
      <c r="S35" s="6" t="str">
        <f t="shared" si="3"/>
        <v>Mar</v>
      </c>
      <c r="T35" s="6">
        <f t="shared" si="4"/>
        <v>2023</v>
      </c>
      <c r="U35" s="6" t="str">
        <f t="shared" si="5"/>
        <v>Delayed</v>
      </c>
      <c r="V35" s="6" t="str">
        <f t="shared" si="6"/>
        <v>Normal</v>
      </c>
      <c r="W35" s="6" t="str">
        <f t="shared" si="7"/>
        <v>No</v>
      </c>
      <c r="AC35" s="13" t="s">
        <v>83</v>
      </c>
      <c r="AD35" s="28">
        <v>135811.6</v>
      </c>
      <c r="AE35" s="28">
        <v>84</v>
      </c>
    </row>
    <row r="36" spans="1:31" x14ac:dyDescent="0.3">
      <c r="A36" s="8" t="s">
        <v>173</v>
      </c>
      <c r="B36" s="3">
        <v>45014</v>
      </c>
      <c r="C36" s="2" t="s">
        <v>174</v>
      </c>
      <c r="D36" s="2" t="s">
        <v>175</v>
      </c>
      <c r="E36" s="2" t="s">
        <v>176</v>
      </c>
      <c r="F36" s="2" t="s">
        <v>177</v>
      </c>
      <c r="G36" s="2" t="s">
        <v>126</v>
      </c>
      <c r="H36" s="2" t="s">
        <v>178</v>
      </c>
      <c r="I36" s="2">
        <v>1</v>
      </c>
      <c r="J36" s="2">
        <v>2800</v>
      </c>
      <c r="K36" s="2">
        <v>0</v>
      </c>
      <c r="L36" s="2">
        <v>2800</v>
      </c>
      <c r="M36" s="2" t="s">
        <v>22</v>
      </c>
      <c r="N36" s="2" t="s">
        <v>37</v>
      </c>
      <c r="O36" s="2">
        <v>4</v>
      </c>
      <c r="P36" s="6">
        <f t="shared" si="0"/>
        <v>2800</v>
      </c>
      <c r="Q36" s="6">
        <f t="shared" si="1"/>
        <v>0</v>
      </c>
      <c r="R36" s="6">
        <f t="shared" si="2"/>
        <v>560</v>
      </c>
      <c r="S36" s="6" t="str">
        <f t="shared" si="3"/>
        <v>Mar</v>
      </c>
      <c r="T36" s="6">
        <f t="shared" si="4"/>
        <v>2023</v>
      </c>
      <c r="U36" s="6" t="str">
        <f t="shared" si="5"/>
        <v>Delayed</v>
      </c>
      <c r="V36" s="6" t="str">
        <f t="shared" si="6"/>
        <v>Normal</v>
      </c>
      <c r="W36" s="6" t="str">
        <f t="shared" si="7"/>
        <v>No</v>
      </c>
      <c r="AC36" s="13" t="s">
        <v>299</v>
      </c>
      <c r="AD36" s="28">
        <v>125740.5</v>
      </c>
      <c r="AE36" s="28">
        <v>42</v>
      </c>
    </row>
    <row r="37" spans="1:31" x14ac:dyDescent="0.3">
      <c r="A37" s="9" t="s">
        <v>179</v>
      </c>
      <c r="B37" s="5">
        <v>45409</v>
      </c>
      <c r="C37" s="4" t="s">
        <v>180</v>
      </c>
      <c r="D37" s="4" t="s">
        <v>181</v>
      </c>
      <c r="E37" s="4" t="s">
        <v>35</v>
      </c>
      <c r="F37" s="4" t="s">
        <v>19</v>
      </c>
      <c r="G37" s="4" t="s">
        <v>149</v>
      </c>
      <c r="H37" s="4" t="s">
        <v>182</v>
      </c>
      <c r="I37" s="4">
        <v>1</v>
      </c>
      <c r="J37" s="4">
        <v>180</v>
      </c>
      <c r="K37" s="4">
        <v>10</v>
      </c>
      <c r="L37" s="4">
        <v>162</v>
      </c>
      <c r="M37" s="4" t="s">
        <v>71</v>
      </c>
      <c r="N37" s="4" t="s">
        <v>23</v>
      </c>
      <c r="O37" s="4">
        <v>0</v>
      </c>
      <c r="P37" s="6">
        <f t="shared" si="0"/>
        <v>180</v>
      </c>
      <c r="Q37" s="6">
        <f t="shared" si="1"/>
        <v>18</v>
      </c>
      <c r="R37" s="6">
        <f t="shared" si="2"/>
        <v>32.4</v>
      </c>
      <c r="S37" s="6" t="str">
        <f t="shared" si="3"/>
        <v>Apr</v>
      </c>
      <c r="T37" s="6">
        <f t="shared" si="4"/>
        <v>2024</v>
      </c>
      <c r="U37" s="6" t="str">
        <f t="shared" si="5"/>
        <v>Fast</v>
      </c>
      <c r="V37" s="6" t="str">
        <f t="shared" si="6"/>
        <v>Normal</v>
      </c>
      <c r="W37" s="6" t="str">
        <f t="shared" si="7"/>
        <v>Yes</v>
      </c>
      <c r="AC37" s="13" t="s">
        <v>27</v>
      </c>
      <c r="AD37" s="28">
        <v>119411.5</v>
      </c>
      <c r="AE37" s="28">
        <v>78</v>
      </c>
    </row>
    <row r="38" spans="1:31" x14ac:dyDescent="0.3">
      <c r="A38" s="8" t="s">
        <v>183</v>
      </c>
      <c r="B38" s="3">
        <v>45199</v>
      </c>
      <c r="C38" s="2" t="s">
        <v>184</v>
      </c>
      <c r="D38" s="2" t="s">
        <v>185</v>
      </c>
      <c r="E38" s="2" t="s">
        <v>52</v>
      </c>
      <c r="F38" s="2" t="s">
        <v>53</v>
      </c>
      <c r="G38" s="2" t="s">
        <v>54</v>
      </c>
      <c r="H38" s="2" t="s">
        <v>172</v>
      </c>
      <c r="I38" s="2">
        <v>3</v>
      </c>
      <c r="J38" s="2">
        <v>130</v>
      </c>
      <c r="K38" s="2">
        <v>5</v>
      </c>
      <c r="L38" s="2">
        <v>370.5</v>
      </c>
      <c r="M38" s="2" t="s">
        <v>43</v>
      </c>
      <c r="N38" s="2" t="s">
        <v>37</v>
      </c>
      <c r="O38" s="2">
        <v>3</v>
      </c>
      <c r="P38" s="6">
        <f t="shared" si="0"/>
        <v>390</v>
      </c>
      <c r="Q38" s="6">
        <f t="shared" si="1"/>
        <v>19.5</v>
      </c>
      <c r="R38" s="6">
        <f t="shared" si="2"/>
        <v>74.100000000000009</v>
      </c>
      <c r="S38" s="6" t="str">
        <f t="shared" si="3"/>
        <v>Sep</v>
      </c>
      <c r="T38" s="6">
        <f t="shared" si="4"/>
        <v>2023</v>
      </c>
      <c r="U38" s="6" t="str">
        <f t="shared" si="5"/>
        <v>Fast</v>
      </c>
      <c r="V38" s="6" t="str">
        <f t="shared" si="6"/>
        <v>Normal</v>
      </c>
      <c r="W38" s="6" t="str">
        <f t="shared" si="7"/>
        <v>Yes</v>
      </c>
      <c r="AC38" s="13" t="s">
        <v>230</v>
      </c>
      <c r="AD38" s="28">
        <v>106131</v>
      </c>
      <c r="AE38" s="28">
        <v>70</v>
      </c>
    </row>
    <row r="39" spans="1:31" x14ac:dyDescent="0.3">
      <c r="A39" s="9" t="s">
        <v>186</v>
      </c>
      <c r="B39" s="5">
        <v>45349</v>
      </c>
      <c r="C39" s="4" t="s">
        <v>187</v>
      </c>
      <c r="D39" s="4" t="s">
        <v>188</v>
      </c>
      <c r="E39" s="4" t="s">
        <v>90</v>
      </c>
      <c r="F39" s="4" t="s">
        <v>19</v>
      </c>
      <c r="G39" s="4" t="s">
        <v>126</v>
      </c>
      <c r="H39" s="4" t="s">
        <v>189</v>
      </c>
      <c r="I39" s="4">
        <v>4</v>
      </c>
      <c r="J39" s="4">
        <v>4500</v>
      </c>
      <c r="K39" s="4">
        <v>0</v>
      </c>
      <c r="L39" s="4">
        <v>18000</v>
      </c>
      <c r="M39" s="4" t="s">
        <v>143</v>
      </c>
      <c r="N39" s="4" t="s">
        <v>64</v>
      </c>
      <c r="O39" s="4">
        <v>5</v>
      </c>
      <c r="P39" s="6">
        <f t="shared" si="0"/>
        <v>18000</v>
      </c>
      <c r="Q39" s="6">
        <f t="shared" si="1"/>
        <v>0</v>
      </c>
      <c r="R39" s="6">
        <f t="shared" si="2"/>
        <v>3600</v>
      </c>
      <c r="S39" s="6" t="str">
        <f t="shared" si="3"/>
        <v>Feb</v>
      </c>
      <c r="T39" s="6">
        <f t="shared" si="4"/>
        <v>2024</v>
      </c>
      <c r="U39" s="6" t="str">
        <f t="shared" si="5"/>
        <v>Delayed</v>
      </c>
      <c r="V39" s="6" t="str">
        <f t="shared" si="6"/>
        <v>High Value</v>
      </c>
      <c r="W39" s="6" t="str">
        <f t="shared" si="7"/>
        <v>No</v>
      </c>
      <c r="AC39" s="13" t="s">
        <v>68</v>
      </c>
      <c r="AD39" s="28">
        <v>98141.5</v>
      </c>
      <c r="AE39" s="28">
        <v>62</v>
      </c>
    </row>
    <row r="40" spans="1:31" x14ac:dyDescent="0.3">
      <c r="A40" s="8" t="s">
        <v>190</v>
      </c>
      <c r="B40" s="3">
        <v>45047</v>
      </c>
      <c r="C40" s="2" t="s">
        <v>191</v>
      </c>
      <c r="D40" s="2" t="s">
        <v>192</v>
      </c>
      <c r="E40" s="2" t="s">
        <v>106</v>
      </c>
      <c r="F40" s="2" t="s">
        <v>19</v>
      </c>
      <c r="G40" s="2" t="s">
        <v>20</v>
      </c>
      <c r="H40" s="2" t="s">
        <v>63</v>
      </c>
      <c r="I40" s="2">
        <v>3</v>
      </c>
      <c r="J40" s="2">
        <v>2800</v>
      </c>
      <c r="K40" s="2">
        <v>0</v>
      </c>
      <c r="L40" s="2">
        <v>8400</v>
      </c>
      <c r="M40" s="2" t="s">
        <v>143</v>
      </c>
      <c r="N40" s="2" t="s">
        <v>31</v>
      </c>
      <c r="O40" s="2">
        <v>1</v>
      </c>
      <c r="P40" s="6">
        <f t="shared" si="0"/>
        <v>8400</v>
      </c>
      <c r="Q40" s="6">
        <f t="shared" si="1"/>
        <v>0</v>
      </c>
      <c r="R40" s="6">
        <f t="shared" si="2"/>
        <v>1680</v>
      </c>
      <c r="S40" s="6" t="str">
        <f t="shared" si="3"/>
        <v>May</v>
      </c>
      <c r="T40" s="6">
        <f t="shared" si="4"/>
        <v>2023</v>
      </c>
      <c r="U40" s="6" t="str">
        <f t="shared" si="5"/>
        <v>Fast</v>
      </c>
      <c r="V40" s="6" t="str">
        <f t="shared" si="6"/>
        <v>High Value</v>
      </c>
      <c r="W40" s="6" t="str">
        <f t="shared" si="7"/>
        <v>No</v>
      </c>
      <c r="AC40" s="13" t="s">
        <v>260</v>
      </c>
      <c r="AD40" s="28">
        <v>93608.5</v>
      </c>
      <c r="AE40" s="28">
        <v>41</v>
      </c>
    </row>
    <row r="41" spans="1:31" x14ac:dyDescent="0.3">
      <c r="A41" s="9" t="s">
        <v>193</v>
      </c>
      <c r="B41" s="5">
        <v>45432</v>
      </c>
      <c r="C41" s="4" t="s">
        <v>118</v>
      </c>
      <c r="D41" s="4" t="s">
        <v>119</v>
      </c>
      <c r="E41" s="4" t="s">
        <v>35</v>
      </c>
      <c r="F41" s="4" t="s">
        <v>19</v>
      </c>
      <c r="G41" s="4" t="s">
        <v>69</v>
      </c>
      <c r="H41" s="4" t="s">
        <v>194</v>
      </c>
      <c r="I41" s="4">
        <v>2</v>
      </c>
      <c r="J41" s="4">
        <v>799</v>
      </c>
      <c r="K41" s="4">
        <v>0</v>
      </c>
      <c r="L41" s="4">
        <v>1598</v>
      </c>
      <c r="M41" s="4" t="s">
        <v>22</v>
      </c>
      <c r="N41" s="4" t="s">
        <v>64</v>
      </c>
      <c r="O41" s="4">
        <v>1</v>
      </c>
      <c r="P41" s="6">
        <f t="shared" si="0"/>
        <v>1598</v>
      </c>
      <c r="Q41" s="6">
        <f t="shared" si="1"/>
        <v>0</v>
      </c>
      <c r="R41" s="6">
        <f t="shared" si="2"/>
        <v>319.60000000000002</v>
      </c>
      <c r="S41" s="6" t="str">
        <f t="shared" si="3"/>
        <v>May</v>
      </c>
      <c r="T41" s="6">
        <f t="shared" si="4"/>
        <v>2024</v>
      </c>
      <c r="U41" s="6" t="str">
        <f t="shared" si="5"/>
        <v>Fast</v>
      </c>
      <c r="V41" s="6" t="str">
        <f t="shared" si="6"/>
        <v>Normal</v>
      </c>
      <c r="W41" s="6" t="str">
        <f t="shared" si="7"/>
        <v>No</v>
      </c>
      <c r="AC41" s="13" t="s">
        <v>79</v>
      </c>
      <c r="AD41" s="28">
        <v>82397.5</v>
      </c>
      <c r="AE41" s="28">
        <v>37</v>
      </c>
    </row>
    <row r="42" spans="1:31" x14ac:dyDescent="0.3">
      <c r="A42" s="8" t="s">
        <v>195</v>
      </c>
      <c r="B42" s="3">
        <v>45335</v>
      </c>
      <c r="C42" s="2" t="s">
        <v>196</v>
      </c>
      <c r="D42" s="2" t="s">
        <v>197</v>
      </c>
      <c r="E42" s="2" t="s">
        <v>176</v>
      </c>
      <c r="F42" s="2" t="s">
        <v>177</v>
      </c>
      <c r="G42" s="2" t="s">
        <v>47</v>
      </c>
      <c r="H42" s="2" t="s">
        <v>48</v>
      </c>
      <c r="I42" s="2">
        <v>4</v>
      </c>
      <c r="J42" s="2">
        <v>320</v>
      </c>
      <c r="K42" s="2">
        <v>15</v>
      </c>
      <c r="L42" s="2">
        <v>1088</v>
      </c>
      <c r="M42" s="2" t="s">
        <v>107</v>
      </c>
      <c r="N42" s="2" t="s">
        <v>64</v>
      </c>
      <c r="O42" s="2">
        <v>3</v>
      </c>
      <c r="P42" s="6">
        <f t="shared" si="0"/>
        <v>1280</v>
      </c>
      <c r="Q42" s="6">
        <f t="shared" si="1"/>
        <v>192</v>
      </c>
      <c r="R42" s="6">
        <f t="shared" si="2"/>
        <v>217.60000000000002</v>
      </c>
      <c r="S42" s="6" t="str">
        <f t="shared" si="3"/>
        <v>Feb</v>
      </c>
      <c r="T42" s="6">
        <f t="shared" si="4"/>
        <v>2024</v>
      </c>
      <c r="U42" s="6" t="str">
        <f t="shared" si="5"/>
        <v>Fast</v>
      </c>
      <c r="V42" s="6" t="str">
        <f t="shared" si="6"/>
        <v>Normal</v>
      </c>
      <c r="W42" s="6" t="str">
        <f t="shared" si="7"/>
        <v>No</v>
      </c>
      <c r="AC42" s="13" t="s">
        <v>137</v>
      </c>
      <c r="AD42" s="28">
        <v>82193.649999999994</v>
      </c>
      <c r="AE42" s="28">
        <v>69</v>
      </c>
    </row>
    <row r="43" spans="1:31" x14ac:dyDescent="0.3">
      <c r="A43" s="9" t="s">
        <v>198</v>
      </c>
      <c r="B43" s="5">
        <v>45254</v>
      </c>
      <c r="C43" s="4" t="s">
        <v>199</v>
      </c>
      <c r="D43" s="4" t="s">
        <v>200</v>
      </c>
      <c r="E43" s="4" t="s">
        <v>90</v>
      </c>
      <c r="F43" s="4" t="s">
        <v>19</v>
      </c>
      <c r="G43" s="4" t="s">
        <v>126</v>
      </c>
      <c r="H43" s="4" t="s">
        <v>127</v>
      </c>
      <c r="I43" s="4">
        <v>2</v>
      </c>
      <c r="J43" s="4">
        <v>850</v>
      </c>
      <c r="K43" s="4">
        <v>10</v>
      </c>
      <c r="L43" s="4">
        <v>1530</v>
      </c>
      <c r="M43" s="4" t="s">
        <v>43</v>
      </c>
      <c r="N43" s="4" t="s">
        <v>64</v>
      </c>
      <c r="O43" s="4">
        <v>5</v>
      </c>
      <c r="P43" s="6">
        <f t="shared" si="0"/>
        <v>1700</v>
      </c>
      <c r="Q43" s="6">
        <f t="shared" si="1"/>
        <v>170</v>
      </c>
      <c r="R43" s="6">
        <f t="shared" si="2"/>
        <v>306</v>
      </c>
      <c r="S43" s="6" t="str">
        <f t="shared" si="3"/>
        <v>Nov</v>
      </c>
      <c r="T43" s="6">
        <f t="shared" si="4"/>
        <v>2023</v>
      </c>
      <c r="U43" s="6" t="str">
        <f t="shared" si="5"/>
        <v>Delayed</v>
      </c>
      <c r="V43" s="6" t="str">
        <f t="shared" si="6"/>
        <v>Normal</v>
      </c>
      <c r="W43" s="6" t="str">
        <f t="shared" si="7"/>
        <v>No</v>
      </c>
      <c r="AC43" s="13" t="s">
        <v>106</v>
      </c>
      <c r="AD43" s="28">
        <v>72645</v>
      </c>
      <c r="AE43" s="28">
        <v>39</v>
      </c>
    </row>
    <row r="44" spans="1:31" x14ac:dyDescent="0.3">
      <c r="A44" s="8" t="s">
        <v>201</v>
      </c>
      <c r="B44" s="3">
        <v>44972</v>
      </c>
      <c r="C44" s="2" t="s">
        <v>161</v>
      </c>
      <c r="D44" s="2" t="s">
        <v>162</v>
      </c>
      <c r="E44" s="2" t="s">
        <v>83</v>
      </c>
      <c r="F44" s="2" t="s">
        <v>19</v>
      </c>
      <c r="G44" s="2" t="s">
        <v>20</v>
      </c>
      <c r="H44" s="2" t="s">
        <v>202</v>
      </c>
      <c r="I44" s="2">
        <v>3</v>
      </c>
      <c r="J44" s="2">
        <v>650</v>
      </c>
      <c r="K44" s="2">
        <v>5</v>
      </c>
      <c r="L44" s="2">
        <v>1852.5</v>
      </c>
      <c r="M44" s="2" t="s">
        <v>43</v>
      </c>
      <c r="N44" s="2" t="s">
        <v>23</v>
      </c>
      <c r="O44" s="2">
        <v>0</v>
      </c>
      <c r="P44" s="6">
        <f t="shared" si="0"/>
        <v>1950</v>
      </c>
      <c r="Q44" s="6">
        <f t="shared" si="1"/>
        <v>97.5</v>
      </c>
      <c r="R44" s="6">
        <f t="shared" si="2"/>
        <v>370.5</v>
      </c>
      <c r="S44" s="6" t="str">
        <f t="shared" si="3"/>
        <v>Feb</v>
      </c>
      <c r="T44" s="6">
        <f t="shared" si="4"/>
        <v>2023</v>
      </c>
      <c r="U44" s="6" t="str">
        <f t="shared" si="5"/>
        <v>Fast</v>
      </c>
      <c r="V44" s="6" t="str">
        <f t="shared" si="6"/>
        <v>Normal</v>
      </c>
      <c r="W44" s="6" t="str">
        <f t="shared" si="7"/>
        <v>No</v>
      </c>
      <c r="AC44" s="13" t="s">
        <v>90</v>
      </c>
      <c r="AD44" s="28">
        <v>52248</v>
      </c>
      <c r="AE44" s="28">
        <v>45</v>
      </c>
    </row>
    <row r="45" spans="1:31" x14ac:dyDescent="0.3">
      <c r="A45" s="9" t="s">
        <v>203</v>
      </c>
      <c r="B45" s="5">
        <v>45399</v>
      </c>
      <c r="C45" s="4" t="s">
        <v>204</v>
      </c>
      <c r="D45" s="4" t="s">
        <v>205</v>
      </c>
      <c r="E45" s="4" t="s">
        <v>35</v>
      </c>
      <c r="F45" s="4" t="s">
        <v>19</v>
      </c>
      <c r="G45" s="4" t="s">
        <v>28</v>
      </c>
      <c r="H45" s="4" t="s">
        <v>29</v>
      </c>
      <c r="I45" s="4">
        <v>1</v>
      </c>
      <c r="J45" s="4">
        <v>1200</v>
      </c>
      <c r="K45" s="4">
        <v>15</v>
      </c>
      <c r="L45" s="4">
        <v>1020</v>
      </c>
      <c r="M45" s="4" t="s">
        <v>22</v>
      </c>
      <c r="N45" s="4" t="s">
        <v>37</v>
      </c>
      <c r="O45" s="4">
        <v>6</v>
      </c>
      <c r="P45" s="6">
        <f t="shared" si="0"/>
        <v>1200</v>
      </c>
      <c r="Q45" s="6">
        <f t="shared" si="1"/>
        <v>180</v>
      </c>
      <c r="R45" s="6">
        <f t="shared" si="2"/>
        <v>204</v>
      </c>
      <c r="S45" s="6" t="str">
        <f t="shared" si="3"/>
        <v>Apr</v>
      </c>
      <c r="T45" s="6">
        <f t="shared" si="4"/>
        <v>2024</v>
      </c>
      <c r="U45" s="6" t="str">
        <f t="shared" si="5"/>
        <v>Delayed</v>
      </c>
      <c r="V45" s="6" t="str">
        <f t="shared" si="6"/>
        <v>Normal</v>
      </c>
      <c r="W45" s="6" t="str">
        <f t="shared" si="7"/>
        <v>No</v>
      </c>
      <c r="AC45" s="13" t="s">
        <v>18</v>
      </c>
      <c r="AD45" s="28">
        <v>46613.9</v>
      </c>
      <c r="AE45" s="28">
        <v>49</v>
      </c>
    </row>
    <row r="46" spans="1:31" x14ac:dyDescent="0.3">
      <c r="A46" s="8" t="s">
        <v>206</v>
      </c>
      <c r="B46" s="3">
        <v>45132</v>
      </c>
      <c r="C46" s="2" t="s">
        <v>207</v>
      </c>
      <c r="D46" s="2" t="s">
        <v>208</v>
      </c>
      <c r="E46" s="2" t="s">
        <v>68</v>
      </c>
      <c r="F46" s="2" t="s">
        <v>19</v>
      </c>
      <c r="G46" s="2" t="s">
        <v>47</v>
      </c>
      <c r="H46" s="2" t="s">
        <v>209</v>
      </c>
      <c r="I46" s="2">
        <v>3</v>
      </c>
      <c r="J46" s="2">
        <v>450</v>
      </c>
      <c r="K46" s="2">
        <v>15</v>
      </c>
      <c r="L46" s="2">
        <v>1147.5</v>
      </c>
      <c r="M46" s="2" t="s">
        <v>143</v>
      </c>
      <c r="N46" s="2" t="s">
        <v>37</v>
      </c>
      <c r="O46" s="2">
        <v>3</v>
      </c>
      <c r="P46" s="6">
        <f t="shared" si="0"/>
        <v>1350</v>
      </c>
      <c r="Q46" s="6">
        <f t="shared" si="1"/>
        <v>202.5</v>
      </c>
      <c r="R46" s="6">
        <f t="shared" si="2"/>
        <v>229.5</v>
      </c>
      <c r="S46" s="6" t="str">
        <f t="shared" si="3"/>
        <v>Jul</v>
      </c>
      <c r="T46" s="6">
        <f t="shared" si="4"/>
        <v>2023</v>
      </c>
      <c r="U46" s="6" t="str">
        <f t="shared" si="5"/>
        <v>Fast</v>
      </c>
      <c r="V46" s="6" t="str">
        <f t="shared" si="6"/>
        <v>Normal</v>
      </c>
      <c r="W46" s="6" t="str">
        <f t="shared" si="7"/>
        <v>No</v>
      </c>
      <c r="AC46" s="13" t="s">
        <v>147</v>
      </c>
      <c r="AD46" s="28">
        <v>29873.5</v>
      </c>
      <c r="AE46" s="28">
        <v>21</v>
      </c>
    </row>
    <row r="47" spans="1:31" x14ac:dyDescent="0.3">
      <c r="A47" s="9" t="s">
        <v>210</v>
      </c>
      <c r="B47" s="5">
        <v>45355</v>
      </c>
      <c r="C47" s="4" t="s">
        <v>211</v>
      </c>
      <c r="D47" s="4" t="s">
        <v>212</v>
      </c>
      <c r="E47" s="4" t="s">
        <v>83</v>
      </c>
      <c r="F47" s="4" t="s">
        <v>19</v>
      </c>
      <c r="G47" s="4" t="s">
        <v>20</v>
      </c>
      <c r="H47" s="4" t="s">
        <v>36</v>
      </c>
      <c r="I47" s="4">
        <v>3</v>
      </c>
      <c r="J47" s="4">
        <v>1200</v>
      </c>
      <c r="K47" s="4">
        <v>0</v>
      </c>
      <c r="L47" s="4">
        <v>3600</v>
      </c>
      <c r="M47" s="4" t="s">
        <v>43</v>
      </c>
      <c r="N47" s="4" t="s">
        <v>37</v>
      </c>
      <c r="O47" s="4">
        <v>9</v>
      </c>
      <c r="P47" s="6">
        <f t="shared" si="0"/>
        <v>3600</v>
      </c>
      <c r="Q47" s="6">
        <f t="shared" si="1"/>
        <v>0</v>
      </c>
      <c r="R47" s="6">
        <f t="shared" si="2"/>
        <v>720</v>
      </c>
      <c r="S47" s="6" t="str">
        <f t="shared" si="3"/>
        <v>Mar</v>
      </c>
      <c r="T47" s="6">
        <f t="shared" si="4"/>
        <v>2024</v>
      </c>
      <c r="U47" s="6" t="str">
        <f t="shared" si="5"/>
        <v>Delayed</v>
      </c>
      <c r="V47" s="6" t="str">
        <f t="shared" si="6"/>
        <v>Normal</v>
      </c>
      <c r="W47" s="6" t="str">
        <f t="shared" si="7"/>
        <v>No</v>
      </c>
      <c r="AC47" s="13" t="s">
        <v>159</v>
      </c>
      <c r="AD47" s="28">
        <v>29010.25</v>
      </c>
      <c r="AE47" s="28">
        <v>33</v>
      </c>
    </row>
    <row r="48" spans="1:31" x14ac:dyDescent="0.3">
      <c r="A48" s="8" t="s">
        <v>213</v>
      </c>
      <c r="B48" s="3">
        <v>44959</v>
      </c>
      <c r="C48" s="2" t="s">
        <v>204</v>
      </c>
      <c r="D48" s="2" t="s">
        <v>205</v>
      </c>
      <c r="E48" s="2" t="s">
        <v>35</v>
      </c>
      <c r="F48" s="2" t="s">
        <v>19</v>
      </c>
      <c r="G48" s="2" t="s">
        <v>47</v>
      </c>
      <c r="H48" s="2" t="s">
        <v>209</v>
      </c>
      <c r="I48" s="2">
        <v>2</v>
      </c>
      <c r="J48" s="2">
        <v>450</v>
      </c>
      <c r="K48" s="2">
        <v>0</v>
      </c>
      <c r="L48" s="2">
        <v>900</v>
      </c>
      <c r="M48" s="2" t="s">
        <v>43</v>
      </c>
      <c r="N48" s="2" t="s">
        <v>23</v>
      </c>
      <c r="O48" s="2">
        <v>0</v>
      </c>
      <c r="P48" s="6">
        <f t="shared" si="0"/>
        <v>900</v>
      </c>
      <c r="Q48" s="6">
        <f t="shared" si="1"/>
        <v>0</v>
      </c>
      <c r="R48" s="6">
        <f t="shared" si="2"/>
        <v>180</v>
      </c>
      <c r="S48" s="6" t="str">
        <f t="shared" si="3"/>
        <v>Feb</v>
      </c>
      <c r="T48" s="6">
        <f t="shared" si="4"/>
        <v>2023</v>
      </c>
      <c r="U48" s="6" t="str">
        <f t="shared" si="5"/>
        <v>Fast</v>
      </c>
      <c r="V48" s="6" t="str">
        <f t="shared" si="6"/>
        <v>Normal</v>
      </c>
      <c r="W48" s="6" t="str">
        <f t="shared" si="7"/>
        <v>No</v>
      </c>
      <c r="AC48" s="13" t="s">
        <v>154</v>
      </c>
      <c r="AD48" s="28">
        <v>25067</v>
      </c>
      <c r="AE48" s="28">
        <v>27</v>
      </c>
    </row>
    <row r="49" spans="1:31" x14ac:dyDescent="0.3">
      <c r="A49" s="9" t="s">
        <v>214</v>
      </c>
      <c r="B49" s="5">
        <v>45255</v>
      </c>
      <c r="C49" s="4" t="s">
        <v>157</v>
      </c>
      <c r="D49" s="4" t="s">
        <v>158</v>
      </c>
      <c r="E49" s="4" t="s">
        <v>159</v>
      </c>
      <c r="F49" s="4" t="s">
        <v>19</v>
      </c>
      <c r="G49" s="4" t="s">
        <v>20</v>
      </c>
      <c r="H49" s="4" t="s">
        <v>116</v>
      </c>
      <c r="I49" s="4">
        <v>3</v>
      </c>
      <c r="J49" s="4">
        <v>450</v>
      </c>
      <c r="K49" s="4">
        <v>15</v>
      </c>
      <c r="L49" s="4">
        <v>1147.5</v>
      </c>
      <c r="M49" s="4" t="s">
        <v>107</v>
      </c>
      <c r="N49" s="4" t="s">
        <v>64</v>
      </c>
      <c r="O49" s="4">
        <v>2</v>
      </c>
      <c r="P49" s="6">
        <f t="shared" si="0"/>
        <v>1350</v>
      </c>
      <c r="Q49" s="6">
        <f t="shared" si="1"/>
        <v>202.5</v>
      </c>
      <c r="R49" s="6">
        <f t="shared" si="2"/>
        <v>229.5</v>
      </c>
      <c r="S49" s="6" t="str">
        <f t="shared" si="3"/>
        <v>Nov</v>
      </c>
      <c r="T49" s="6">
        <f t="shared" si="4"/>
        <v>2023</v>
      </c>
      <c r="U49" s="6" t="str">
        <f t="shared" si="5"/>
        <v>Fast</v>
      </c>
      <c r="V49" s="6" t="str">
        <f t="shared" si="6"/>
        <v>Normal</v>
      </c>
      <c r="W49" s="6" t="str">
        <f t="shared" si="7"/>
        <v>Yes</v>
      </c>
      <c r="AC49" s="13" t="s">
        <v>133</v>
      </c>
      <c r="AD49" s="28">
        <v>6543.5</v>
      </c>
      <c r="AE49" s="28">
        <v>15</v>
      </c>
    </row>
    <row r="50" spans="1:31" x14ac:dyDescent="0.3">
      <c r="A50" s="8" t="s">
        <v>215</v>
      </c>
      <c r="B50" s="3">
        <v>45325</v>
      </c>
      <c r="C50" s="2" t="s">
        <v>216</v>
      </c>
      <c r="D50" s="2" t="s">
        <v>119</v>
      </c>
      <c r="E50" s="2" t="s">
        <v>176</v>
      </c>
      <c r="F50" s="2" t="s">
        <v>177</v>
      </c>
      <c r="G50" s="2" t="s">
        <v>47</v>
      </c>
      <c r="H50" s="2" t="s">
        <v>217</v>
      </c>
      <c r="I50" s="2">
        <v>1</v>
      </c>
      <c r="J50" s="2">
        <v>1200</v>
      </c>
      <c r="K50" s="2">
        <v>0</v>
      </c>
      <c r="L50" s="2">
        <v>1200</v>
      </c>
      <c r="M50" s="2" t="s">
        <v>143</v>
      </c>
      <c r="N50" s="2" t="s">
        <v>37</v>
      </c>
      <c r="O50" s="2">
        <v>4</v>
      </c>
      <c r="P50" s="6">
        <f t="shared" si="0"/>
        <v>1200</v>
      </c>
      <c r="Q50" s="6">
        <f t="shared" si="1"/>
        <v>0</v>
      </c>
      <c r="R50" s="6">
        <f t="shared" si="2"/>
        <v>240</v>
      </c>
      <c r="S50" s="6" t="str">
        <f t="shared" si="3"/>
        <v>Feb</v>
      </c>
      <c r="T50" s="6">
        <f t="shared" si="4"/>
        <v>2024</v>
      </c>
      <c r="U50" s="6" t="str">
        <f t="shared" si="5"/>
        <v>Delayed</v>
      </c>
      <c r="V50" s="6" t="str">
        <f t="shared" si="6"/>
        <v>Normal</v>
      </c>
      <c r="W50" s="6" t="str">
        <f t="shared" si="7"/>
        <v>Yes</v>
      </c>
      <c r="AC50" s="13" t="s">
        <v>115</v>
      </c>
      <c r="AD50" s="28">
        <v>4656.2</v>
      </c>
      <c r="AE50" s="28">
        <v>7</v>
      </c>
    </row>
    <row r="51" spans="1:31" x14ac:dyDescent="0.3">
      <c r="A51" s="9" t="s">
        <v>218</v>
      </c>
      <c r="B51" s="5">
        <v>45037</v>
      </c>
      <c r="C51" s="4" t="s">
        <v>219</v>
      </c>
      <c r="D51" s="4" t="s">
        <v>220</v>
      </c>
      <c r="E51" s="4" t="s">
        <v>159</v>
      </c>
      <c r="F51" s="4" t="s">
        <v>19</v>
      </c>
      <c r="G51" s="4" t="s">
        <v>54</v>
      </c>
      <c r="H51" s="4" t="s">
        <v>172</v>
      </c>
      <c r="I51" s="4">
        <v>1</v>
      </c>
      <c r="J51" s="4">
        <v>130</v>
      </c>
      <c r="K51" s="4">
        <v>0</v>
      </c>
      <c r="L51" s="4">
        <v>130</v>
      </c>
      <c r="M51" s="4" t="s">
        <v>30</v>
      </c>
      <c r="N51" s="4" t="s">
        <v>37</v>
      </c>
      <c r="O51" s="4">
        <v>6</v>
      </c>
      <c r="P51" s="6">
        <f t="shared" si="0"/>
        <v>130</v>
      </c>
      <c r="Q51" s="6">
        <f t="shared" si="1"/>
        <v>0</v>
      </c>
      <c r="R51" s="6">
        <f t="shared" si="2"/>
        <v>26</v>
      </c>
      <c r="S51" s="6" t="str">
        <f t="shared" si="3"/>
        <v>Apr</v>
      </c>
      <c r="T51" s="6">
        <f t="shared" si="4"/>
        <v>2023</v>
      </c>
      <c r="U51" s="6" t="str">
        <f t="shared" si="5"/>
        <v>Delayed</v>
      </c>
      <c r="V51" s="6" t="str">
        <f t="shared" si="6"/>
        <v>Normal</v>
      </c>
      <c r="W51" s="6" t="str">
        <f t="shared" si="7"/>
        <v>No</v>
      </c>
      <c r="AC51" s="13" t="s">
        <v>1249</v>
      </c>
      <c r="AD51" s="28">
        <v>3395389.15</v>
      </c>
      <c r="AE51" s="28">
        <v>1240</v>
      </c>
    </row>
    <row r="52" spans="1:31" x14ac:dyDescent="0.3">
      <c r="A52" s="8" t="s">
        <v>221</v>
      </c>
      <c r="B52" s="3">
        <v>45032</v>
      </c>
      <c r="C52" s="2" t="s">
        <v>207</v>
      </c>
      <c r="D52" s="2" t="s">
        <v>208</v>
      </c>
      <c r="E52" s="2" t="s">
        <v>68</v>
      </c>
      <c r="F52" s="2" t="s">
        <v>19</v>
      </c>
      <c r="G52" s="2" t="s">
        <v>126</v>
      </c>
      <c r="H52" s="2" t="s">
        <v>222</v>
      </c>
      <c r="I52" s="2">
        <v>4</v>
      </c>
      <c r="J52" s="2">
        <v>650</v>
      </c>
      <c r="K52" s="2">
        <v>5</v>
      </c>
      <c r="L52" s="2">
        <v>2470</v>
      </c>
      <c r="M52" s="2" t="s">
        <v>143</v>
      </c>
      <c r="N52" s="2" t="s">
        <v>37</v>
      </c>
      <c r="O52" s="2">
        <v>5</v>
      </c>
      <c r="P52" s="6">
        <f t="shared" si="0"/>
        <v>2600</v>
      </c>
      <c r="Q52" s="6">
        <f t="shared" si="1"/>
        <v>130</v>
      </c>
      <c r="R52" s="6">
        <f t="shared" si="2"/>
        <v>494</v>
      </c>
      <c r="S52" s="6" t="str">
        <f t="shared" si="3"/>
        <v>Apr</v>
      </c>
      <c r="T52" s="6">
        <f t="shared" si="4"/>
        <v>2023</v>
      </c>
      <c r="U52" s="6" t="str">
        <f t="shared" si="5"/>
        <v>Delayed</v>
      </c>
      <c r="V52" s="6" t="str">
        <f t="shared" si="6"/>
        <v>Normal</v>
      </c>
      <c r="W52" s="6" t="str">
        <f t="shared" si="7"/>
        <v>Yes</v>
      </c>
    </row>
    <row r="53" spans="1:31" x14ac:dyDescent="0.3">
      <c r="A53" s="9" t="s">
        <v>223</v>
      </c>
      <c r="B53" s="5">
        <v>45288</v>
      </c>
      <c r="C53" s="4" t="s">
        <v>224</v>
      </c>
      <c r="D53" s="4" t="s">
        <v>225</v>
      </c>
      <c r="E53" s="4" t="s">
        <v>41</v>
      </c>
      <c r="F53" s="4" t="s">
        <v>19</v>
      </c>
      <c r="G53" s="4" t="s">
        <v>149</v>
      </c>
      <c r="H53" s="4" t="s">
        <v>226</v>
      </c>
      <c r="I53" s="4">
        <v>1</v>
      </c>
      <c r="J53" s="4">
        <v>350</v>
      </c>
      <c r="K53" s="4">
        <v>0</v>
      </c>
      <c r="L53" s="4">
        <v>350</v>
      </c>
      <c r="M53" s="4" t="s">
        <v>30</v>
      </c>
      <c r="N53" s="4" t="s">
        <v>64</v>
      </c>
      <c r="O53" s="4">
        <v>3</v>
      </c>
      <c r="P53" s="6">
        <f t="shared" si="0"/>
        <v>350</v>
      </c>
      <c r="Q53" s="6">
        <f t="shared" si="1"/>
        <v>0</v>
      </c>
      <c r="R53" s="6">
        <f t="shared" si="2"/>
        <v>70</v>
      </c>
      <c r="S53" s="6" t="str">
        <f t="shared" si="3"/>
        <v>Dec</v>
      </c>
      <c r="T53" s="6">
        <f t="shared" si="4"/>
        <v>2023</v>
      </c>
      <c r="U53" s="6" t="str">
        <f t="shared" si="5"/>
        <v>Fast</v>
      </c>
      <c r="V53" s="6" t="str">
        <f t="shared" si="6"/>
        <v>Normal</v>
      </c>
      <c r="W53" s="6" t="str">
        <f t="shared" si="7"/>
        <v>No</v>
      </c>
    </row>
    <row r="54" spans="1:31" x14ac:dyDescent="0.3">
      <c r="A54" s="8" t="s">
        <v>227</v>
      </c>
      <c r="B54" s="3">
        <v>45343</v>
      </c>
      <c r="C54" s="2" t="s">
        <v>228</v>
      </c>
      <c r="D54" s="2" t="s">
        <v>229</v>
      </c>
      <c r="E54" s="2" t="s">
        <v>230</v>
      </c>
      <c r="F54" s="2" t="s">
        <v>19</v>
      </c>
      <c r="G54" s="2" t="s">
        <v>126</v>
      </c>
      <c r="H54" s="2" t="s">
        <v>231</v>
      </c>
      <c r="I54" s="2">
        <v>2</v>
      </c>
      <c r="J54" s="2">
        <v>350</v>
      </c>
      <c r="K54" s="2">
        <v>0</v>
      </c>
      <c r="L54" s="2">
        <v>700</v>
      </c>
      <c r="M54" s="2" t="s">
        <v>43</v>
      </c>
      <c r="N54" s="2" t="s">
        <v>37</v>
      </c>
      <c r="O54" s="2">
        <v>3</v>
      </c>
      <c r="P54" s="6">
        <f t="shared" si="0"/>
        <v>700</v>
      </c>
      <c r="Q54" s="6">
        <f t="shared" si="1"/>
        <v>0</v>
      </c>
      <c r="R54" s="6">
        <f t="shared" si="2"/>
        <v>140</v>
      </c>
      <c r="S54" s="6" t="str">
        <f t="shared" si="3"/>
        <v>Feb</v>
      </c>
      <c r="T54" s="6">
        <f t="shared" si="4"/>
        <v>2024</v>
      </c>
      <c r="U54" s="6" t="str">
        <f t="shared" si="5"/>
        <v>Fast</v>
      </c>
      <c r="V54" s="6" t="str">
        <f t="shared" si="6"/>
        <v>Normal</v>
      </c>
      <c r="W54" s="6" t="str">
        <f t="shared" si="7"/>
        <v>No</v>
      </c>
    </row>
    <row r="55" spans="1:31" x14ac:dyDescent="0.3">
      <c r="A55" s="9" t="s">
        <v>232</v>
      </c>
      <c r="B55" s="5">
        <v>45156</v>
      </c>
      <c r="C55" s="4" t="s">
        <v>165</v>
      </c>
      <c r="D55" s="4" t="s">
        <v>166</v>
      </c>
      <c r="E55" s="4" t="s">
        <v>27</v>
      </c>
      <c r="F55" s="4" t="s">
        <v>19</v>
      </c>
      <c r="G55" s="4" t="s">
        <v>28</v>
      </c>
      <c r="H55" s="4" t="s">
        <v>29</v>
      </c>
      <c r="I55" s="4">
        <v>2</v>
      </c>
      <c r="J55" s="4">
        <v>1200</v>
      </c>
      <c r="K55" s="4">
        <v>10</v>
      </c>
      <c r="L55" s="4">
        <v>2160</v>
      </c>
      <c r="M55" s="4" t="s">
        <v>43</v>
      </c>
      <c r="N55" s="4" t="s">
        <v>31</v>
      </c>
      <c r="O55" s="4">
        <v>2</v>
      </c>
      <c r="P55" s="6">
        <f t="shared" si="0"/>
        <v>2400</v>
      </c>
      <c r="Q55" s="6">
        <f t="shared" si="1"/>
        <v>240</v>
      </c>
      <c r="R55" s="6">
        <f t="shared" si="2"/>
        <v>432</v>
      </c>
      <c r="S55" s="6" t="str">
        <f t="shared" si="3"/>
        <v>Aug</v>
      </c>
      <c r="T55" s="6">
        <f t="shared" si="4"/>
        <v>2023</v>
      </c>
      <c r="U55" s="6" t="str">
        <f t="shared" si="5"/>
        <v>Fast</v>
      </c>
      <c r="V55" s="6" t="str">
        <f t="shared" si="6"/>
        <v>Normal</v>
      </c>
      <c r="W55" s="6" t="str">
        <f t="shared" si="7"/>
        <v>No</v>
      </c>
    </row>
    <row r="56" spans="1:31" x14ac:dyDescent="0.3">
      <c r="A56" s="8" t="s">
        <v>233</v>
      </c>
      <c r="B56" s="3">
        <v>45321</v>
      </c>
      <c r="C56" s="2" t="s">
        <v>234</v>
      </c>
      <c r="D56" s="2" t="s">
        <v>235</v>
      </c>
      <c r="E56" s="2" t="s">
        <v>52</v>
      </c>
      <c r="F56" s="2" t="s">
        <v>53</v>
      </c>
      <c r="G56" s="2" t="s">
        <v>69</v>
      </c>
      <c r="H56" s="2" t="s">
        <v>236</v>
      </c>
      <c r="I56" s="2">
        <v>2</v>
      </c>
      <c r="J56" s="2">
        <v>1600</v>
      </c>
      <c r="K56" s="2">
        <v>0</v>
      </c>
      <c r="L56" s="2">
        <v>3200</v>
      </c>
      <c r="M56" s="2" t="s">
        <v>43</v>
      </c>
      <c r="N56" s="2" t="s">
        <v>37</v>
      </c>
      <c r="O56" s="2">
        <v>10</v>
      </c>
      <c r="P56" s="6">
        <f t="shared" si="0"/>
        <v>3200</v>
      </c>
      <c r="Q56" s="6">
        <f t="shared" si="1"/>
        <v>0</v>
      </c>
      <c r="R56" s="6">
        <f t="shared" si="2"/>
        <v>640</v>
      </c>
      <c r="S56" s="6" t="str">
        <f t="shared" si="3"/>
        <v>Jan</v>
      </c>
      <c r="T56" s="6">
        <f t="shared" si="4"/>
        <v>2024</v>
      </c>
      <c r="U56" s="6" t="str">
        <f t="shared" si="5"/>
        <v>Delayed</v>
      </c>
      <c r="V56" s="6" t="str">
        <f t="shared" si="6"/>
        <v>Normal</v>
      </c>
      <c r="W56" s="6" t="str">
        <f t="shared" si="7"/>
        <v>No</v>
      </c>
    </row>
    <row r="57" spans="1:31" x14ac:dyDescent="0.3">
      <c r="A57" s="9" t="s">
        <v>237</v>
      </c>
      <c r="B57" s="5">
        <v>45182</v>
      </c>
      <c r="C57" s="4" t="s">
        <v>238</v>
      </c>
      <c r="D57" s="4" t="s">
        <v>239</v>
      </c>
      <c r="E57" s="4" t="s">
        <v>68</v>
      </c>
      <c r="F57" s="4" t="s">
        <v>19</v>
      </c>
      <c r="G57" s="4" t="s">
        <v>47</v>
      </c>
      <c r="H57" s="4" t="s">
        <v>102</v>
      </c>
      <c r="I57" s="4">
        <v>4</v>
      </c>
      <c r="J57" s="4">
        <v>2200</v>
      </c>
      <c r="K57" s="4">
        <v>5</v>
      </c>
      <c r="L57" s="4">
        <v>8360</v>
      </c>
      <c r="M57" s="4" t="s">
        <v>43</v>
      </c>
      <c r="N57" s="4" t="s">
        <v>37</v>
      </c>
      <c r="O57" s="4">
        <v>5</v>
      </c>
      <c r="P57" s="6">
        <f t="shared" si="0"/>
        <v>8800</v>
      </c>
      <c r="Q57" s="6">
        <f t="shared" si="1"/>
        <v>440</v>
      </c>
      <c r="R57" s="6">
        <f t="shared" si="2"/>
        <v>1672</v>
      </c>
      <c r="S57" s="6" t="str">
        <f t="shared" si="3"/>
        <v>Sep</v>
      </c>
      <c r="T57" s="6">
        <f t="shared" si="4"/>
        <v>2023</v>
      </c>
      <c r="U57" s="6" t="str">
        <f t="shared" si="5"/>
        <v>Delayed</v>
      </c>
      <c r="V57" s="6" t="str">
        <f t="shared" si="6"/>
        <v>High Value</v>
      </c>
      <c r="W57" s="6" t="str">
        <f t="shared" si="7"/>
        <v>No</v>
      </c>
    </row>
    <row r="58" spans="1:31" x14ac:dyDescent="0.3">
      <c r="A58" s="8" t="s">
        <v>240</v>
      </c>
      <c r="B58" s="3">
        <v>45248</v>
      </c>
      <c r="C58" s="2" t="s">
        <v>241</v>
      </c>
      <c r="D58" s="2" t="s">
        <v>242</v>
      </c>
      <c r="E58" s="2" t="s">
        <v>230</v>
      </c>
      <c r="F58" s="2" t="s">
        <v>19</v>
      </c>
      <c r="G58" s="2" t="s">
        <v>47</v>
      </c>
      <c r="H58" s="2" t="s">
        <v>48</v>
      </c>
      <c r="I58" s="2">
        <v>2</v>
      </c>
      <c r="J58" s="2">
        <v>320</v>
      </c>
      <c r="K58" s="2">
        <v>0</v>
      </c>
      <c r="L58" s="2">
        <v>640</v>
      </c>
      <c r="M58" s="2" t="s">
        <v>22</v>
      </c>
      <c r="N58" s="2" t="s">
        <v>37</v>
      </c>
      <c r="O58" s="2">
        <v>9</v>
      </c>
      <c r="P58" s="6">
        <f t="shared" si="0"/>
        <v>640</v>
      </c>
      <c r="Q58" s="6">
        <f t="shared" si="1"/>
        <v>0</v>
      </c>
      <c r="R58" s="6">
        <f t="shared" si="2"/>
        <v>128</v>
      </c>
      <c r="S58" s="6" t="str">
        <f t="shared" si="3"/>
        <v>Nov</v>
      </c>
      <c r="T58" s="6">
        <f t="shared" si="4"/>
        <v>2023</v>
      </c>
      <c r="U58" s="6" t="str">
        <f t="shared" si="5"/>
        <v>Delayed</v>
      </c>
      <c r="V58" s="6" t="str">
        <f t="shared" si="6"/>
        <v>Normal</v>
      </c>
      <c r="W58" s="6" t="str">
        <f t="shared" si="7"/>
        <v>Yes</v>
      </c>
      <c r="Y58" s="12" t="s">
        <v>1265</v>
      </c>
    </row>
    <row r="59" spans="1:31" x14ac:dyDescent="0.3">
      <c r="A59" s="9" t="s">
        <v>243</v>
      </c>
      <c r="B59" s="5">
        <v>45431</v>
      </c>
      <c r="C59" s="4" t="s">
        <v>244</v>
      </c>
      <c r="D59" s="4" t="s">
        <v>245</v>
      </c>
      <c r="E59" s="4" t="s">
        <v>137</v>
      </c>
      <c r="F59" s="4" t="s">
        <v>19</v>
      </c>
      <c r="G59" s="4" t="s">
        <v>20</v>
      </c>
      <c r="H59" s="4" t="s">
        <v>111</v>
      </c>
      <c r="I59" s="4">
        <v>2</v>
      </c>
      <c r="J59" s="4">
        <v>250</v>
      </c>
      <c r="K59" s="4">
        <v>20</v>
      </c>
      <c r="L59" s="4">
        <v>400</v>
      </c>
      <c r="M59" s="4" t="s">
        <v>143</v>
      </c>
      <c r="N59" s="4" t="s">
        <v>37</v>
      </c>
      <c r="O59" s="4">
        <v>8</v>
      </c>
      <c r="P59" s="6">
        <f t="shared" si="0"/>
        <v>500</v>
      </c>
      <c r="Q59" s="6">
        <f t="shared" si="1"/>
        <v>100</v>
      </c>
      <c r="R59" s="6">
        <f t="shared" si="2"/>
        <v>80</v>
      </c>
      <c r="S59" s="6" t="str">
        <f t="shared" si="3"/>
        <v>May</v>
      </c>
      <c r="T59" s="6">
        <f t="shared" si="4"/>
        <v>2024</v>
      </c>
      <c r="U59" s="6" t="str">
        <f t="shared" si="5"/>
        <v>Delayed</v>
      </c>
      <c r="V59" s="6" t="str">
        <f t="shared" si="6"/>
        <v>Normal</v>
      </c>
      <c r="W59" s="6" t="str">
        <f t="shared" si="7"/>
        <v>Yes</v>
      </c>
      <c r="Y59" s="13" t="s">
        <v>1264</v>
      </c>
    </row>
    <row r="60" spans="1:31" x14ac:dyDescent="0.3">
      <c r="A60" s="8" t="s">
        <v>246</v>
      </c>
      <c r="B60" s="3">
        <v>45347</v>
      </c>
      <c r="C60" s="2" t="s">
        <v>247</v>
      </c>
      <c r="D60" s="2" t="s">
        <v>248</v>
      </c>
      <c r="E60" s="2" t="s">
        <v>35</v>
      </c>
      <c r="F60" s="2" t="s">
        <v>19</v>
      </c>
      <c r="G60" s="2" t="s">
        <v>28</v>
      </c>
      <c r="H60" s="2" t="s">
        <v>249</v>
      </c>
      <c r="I60" s="2">
        <v>4</v>
      </c>
      <c r="J60" s="2">
        <v>890</v>
      </c>
      <c r="K60" s="2">
        <v>0</v>
      </c>
      <c r="L60" s="2">
        <v>3560</v>
      </c>
      <c r="M60" s="2" t="s">
        <v>43</v>
      </c>
      <c r="N60" s="2" t="s">
        <v>31</v>
      </c>
      <c r="O60" s="2">
        <v>5</v>
      </c>
      <c r="P60" s="6">
        <f t="shared" si="0"/>
        <v>3560</v>
      </c>
      <c r="Q60" s="6">
        <f t="shared" si="1"/>
        <v>0</v>
      </c>
      <c r="R60" s="6">
        <f t="shared" si="2"/>
        <v>712</v>
      </c>
      <c r="S60" s="6" t="str">
        <f t="shared" si="3"/>
        <v>Feb</v>
      </c>
      <c r="T60" s="6">
        <f t="shared" si="4"/>
        <v>2024</v>
      </c>
      <c r="U60" s="6" t="str">
        <f t="shared" si="5"/>
        <v>Delayed</v>
      </c>
      <c r="V60" s="6" t="str">
        <f t="shared" si="6"/>
        <v>Normal</v>
      </c>
      <c r="W60" s="6" t="str">
        <f t="shared" si="7"/>
        <v>Yes</v>
      </c>
      <c r="Y60" s="13" t="s">
        <v>1249</v>
      </c>
    </row>
    <row r="61" spans="1:31" x14ac:dyDescent="0.3">
      <c r="A61" s="9" t="s">
        <v>250</v>
      </c>
      <c r="B61" s="5">
        <v>45060</v>
      </c>
      <c r="C61" s="4" t="s">
        <v>251</v>
      </c>
      <c r="D61" s="4" t="s">
        <v>252</v>
      </c>
      <c r="E61" s="4" t="s">
        <v>253</v>
      </c>
      <c r="F61" s="4" t="s">
        <v>155</v>
      </c>
      <c r="G61" s="4" t="s">
        <v>69</v>
      </c>
      <c r="H61" s="4" t="s">
        <v>254</v>
      </c>
      <c r="I61" s="4">
        <v>3</v>
      </c>
      <c r="J61" s="4">
        <v>499</v>
      </c>
      <c r="K61" s="4">
        <v>15</v>
      </c>
      <c r="L61" s="4">
        <v>1272.45</v>
      </c>
      <c r="M61" s="4" t="s">
        <v>107</v>
      </c>
      <c r="N61" s="4" t="s">
        <v>37</v>
      </c>
      <c r="O61" s="4">
        <v>7</v>
      </c>
      <c r="P61" s="6">
        <f t="shared" si="0"/>
        <v>1497</v>
      </c>
      <c r="Q61" s="6">
        <f t="shared" si="1"/>
        <v>224.54999999999998</v>
      </c>
      <c r="R61" s="6">
        <f t="shared" si="2"/>
        <v>254.49</v>
      </c>
      <c r="S61" s="6" t="str">
        <f t="shared" si="3"/>
        <v>May</v>
      </c>
      <c r="T61" s="6">
        <f t="shared" si="4"/>
        <v>2023</v>
      </c>
      <c r="U61" s="6" t="str">
        <f t="shared" si="5"/>
        <v>Delayed</v>
      </c>
      <c r="V61" s="6" t="str">
        <f t="shared" si="6"/>
        <v>Normal</v>
      </c>
      <c r="W61" s="6" t="str">
        <f t="shared" si="7"/>
        <v>Yes</v>
      </c>
    </row>
    <row r="62" spans="1:31" x14ac:dyDescent="0.3">
      <c r="A62" s="8" t="s">
        <v>255</v>
      </c>
      <c r="B62" s="3">
        <v>45113</v>
      </c>
      <c r="C62" s="2" t="s">
        <v>191</v>
      </c>
      <c r="D62" s="2" t="s">
        <v>192</v>
      </c>
      <c r="E62" s="2" t="s">
        <v>106</v>
      </c>
      <c r="F62" s="2" t="s">
        <v>19</v>
      </c>
      <c r="G62" s="2" t="s">
        <v>149</v>
      </c>
      <c r="H62" s="2" t="s">
        <v>256</v>
      </c>
      <c r="I62" s="2">
        <v>2</v>
      </c>
      <c r="J62" s="2">
        <v>220</v>
      </c>
      <c r="K62" s="2">
        <v>0</v>
      </c>
      <c r="L62" s="2">
        <v>440</v>
      </c>
      <c r="M62" s="2" t="s">
        <v>143</v>
      </c>
      <c r="N62" s="2" t="s">
        <v>37</v>
      </c>
      <c r="O62" s="2">
        <v>6</v>
      </c>
      <c r="P62" s="6">
        <f t="shared" si="0"/>
        <v>440</v>
      </c>
      <c r="Q62" s="6">
        <f t="shared" si="1"/>
        <v>0</v>
      </c>
      <c r="R62" s="6">
        <f t="shared" si="2"/>
        <v>88</v>
      </c>
      <c r="S62" s="6" t="str">
        <f t="shared" si="3"/>
        <v>Jul</v>
      </c>
      <c r="T62" s="6">
        <f t="shared" si="4"/>
        <v>2023</v>
      </c>
      <c r="U62" s="6" t="str">
        <f t="shared" si="5"/>
        <v>Delayed</v>
      </c>
      <c r="V62" s="6" t="str">
        <f t="shared" si="6"/>
        <v>Normal</v>
      </c>
      <c r="W62" s="6" t="str">
        <f t="shared" si="7"/>
        <v>No</v>
      </c>
    </row>
    <row r="63" spans="1:31" x14ac:dyDescent="0.3">
      <c r="A63" s="9" t="s">
        <v>257</v>
      </c>
      <c r="B63" s="5">
        <v>45008</v>
      </c>
      <c r="C63" s="4" t="s">
        <v>258</v>
      </c>
      <c r="D63" s="4" t="s">
        <v>259</v>
      </c>
      <c r="E63" s="4" t="s">
        <v>260</v>
      </c>
      <c r="F63" s="4" t="s">
        <v>19</v>
      </c>
      <c r="G63" s="4" t="s">
        <v>126</v>
      </c>
      <c r="H63" s="4" t="s">
        <v>261</v>
      </c>
      <c r="I63" s="4">
        <v>3</v>
      </c>
      <c r="J63" s="4">
        <v>9500</v>
      </c>
      <c r="K63" s="4">
        <v>0</v>
      </c>
      <c r="L63" s="4">
        <v>28500</v>
      </c>
      <c r="M63" s="4" t="s">
        <v>143</v>
      </c>
      <c r="N63" s="4" t="s">
        <v>37</v>
      </c>
      <c r="O63" s="4">
        <v>8</v>
      </c>
      <c r="P63" s="6">
        <f t="shared" si="0"/>
        <v>28500</v>
      </c>
      <c r="Q63" s="6">
        <f t="shared" si="1"/>
        <v>0</v>
      </c>
      <c r="R63" s="6">
        <f t="shared" si="2"/>
        <v>5700</v>
      </c>
      <c r="S63" s="6" t="str">
        <f t="shared" si="3"/>
        <v>Mar</v>
      </c>
      <c r="T63" s="6">
        <f t="shared" si="4"/>
        <v>2023</v>
      </c>
      <c r="U63" s="6" t="str">
        <f t="shared" si="5"/>
        <v>Delayed</v>
      </c>
      <c r="V63" s="6" t="str">
        <f t="shared" si="6"/>
        <v>High Value</v>
      </c>
      <c r="W63" s="6" t="str">
        <f t="shared" si="7"/>
        <v>No</v>
      </c>
    </row>
    <row r="64" spans="1:31" x14ac:dyDescent="0.3">
      <c r="A64" s="8" t="s">
        <v>262</v>
      </c>
      <c r="B64" s="3">
        <v>45372</v>
      </c>
      <c r="C64" s="2" t="s">
        <v>263</v>
      </c>
      <c r="D64" s="2" t="s">
        <v>264</v>
      </c>
      <c r="E64" s="2" t="s">
        <v>265</v>
      </c>
      <c r="F64" s="2" t="s">
        <v>266</v>
      </c>
      <c r="G64" s="2" t="s">
        <v>149</v>
      </c>
      <c r="H64" s="2" t="s">
        <v>256</v>
      </c>
      <c r="I64" s="2">
        <v>1</v>
      </c>
      <c r="J64" s="2">
        <v>220</v>
      </c>
      <c r="K64" s="2">
        <v>0</v>
      </c>
      <c r="L64" s="2">
        <v>220</v>
      </c>
      <c r="M64" s="2" t="s">
        <v>43</v>
      </c>
      <c r="N64" s="2" t="s">
        <v>64</v>
      </c>
      <c r="O64" s="2">
        <v>1</v>
      </c>
      <c r="P64" s="6">
        <f t="shared" si="0"/>
        <v>220</v>
      </c>
      <c r="Q64" s="6">
        <f t="shared" si="1"/>
        <v>0</v>
      </c>
      <c r="R64" s="6">
        <f t="shared" si="2"/>
        <v>44</v>
      </c>
      <c r="S64" s="6" t="str">
        <f t="shared" si="3"/>
        <v>Mar</v>
      </c>
      <c r="T64" s="6">
        <f t="shared" si="4"/>
        <v>2024</v>
      </c>
      <c r="U64" s="6" t="str">
        <f t="shared" si="5"/>
        <v>Fast</v>
      </c>
      <c r="V64" s="6" t="str">
        <f t="shared" si="6"/>
        <v>Normal</v>
      </c>
      <c r="W64" s="6" t="str">
        <f t="shared" si="7"/>
        <v>No</v>
      </c>
    </row>
    <row r="65" spans="1:23" x14ac:dyDescent="0.3">
      <c r="A65" s="9" t="s">
        <v>267</v>
      </c>
      <c r="B65" s="5">
        <v>45458</v>
      </c>
      <c r="C65" s="4" t="s">
        <v>268</v>
      </c>
      <c r="D65" s="4" t="s">
        <v>269</v>
      </c>
      <c r="E65" s="4" t="s">
        <v>270</v>
      </c>
      <c r="F65" s="4" t="s">
        <v>19</v>
      </c>
      <c r="G65" s="4" t="s">
        <v>126</v>
      </c>
      <c r="H65" s="4" t="s">
        <v>222</v>
      </c>
      <c r="I65" s="4">
        <v>2</v>
      </c>
      <c r="J65" s="4">
        <v>650</v>
      </c>
      <c r="K65" s="4">
        <v>20</v>
      </c>
      <c r="L65" s="4">
        <v>1040</v>
      </c>
      <c r="M65" s="4" t="s">
        <v>143</v>
      </c>
      <c r="N65" s="4" t="s">
        <v>37</v>
      </c>
      <c r="O65" s="4">
        <v>2</v>
      </c>
      <c r="P65" s="6">
        <f t="shared" si="0"/>
        <v>1300</v>
      </c>
      <c r="Q65" s="6">
        <f t="shared" si="1"/>
        <v>260</v>
      </c>
      <c r="R65" s="6">
        <f t="shared" si="2"/>
        <v>208</v>
      </c>
      <c r="S65" s="6" t="str">
        <f t="shared" si="3"/>
        <v>Jun</v>
      </c>
      <c r="T65" s="6">
        <f t="shared" si="4"/>
        <v>2024</v>
      </c>
      <c r="U65" s="6" t="str">
        <f t="shared" si="5"/>
        <v>Fast</v>
      </c>
      <c r="V65" s="6" t="str">
        <f t="shared" si="6"/>
        <v>Normal</v>
      </c>
      <c r="W65" s="6" t="str">
        <f t="shared" si="7"/>
        <v>Yes</v>
      </c>
    </row>
    <row r="66" spans="1:23" x14ac:dyDescent="0.3">
      <c r="A66" s="8" t="s">
        <v>271</v>
      </c>
      <c r="B66" s="3">
        <v>44952</v>
      </c>
      <c r="C66" s="2" t="s">
        <v>272</v>
      </c>
      <c r="D66" s="2" t="s">
        <v>273</v>
      </c>
      <c r="E66" s="2" t="s">
        <v>27</v>
      </c>
      <c r="F66" s="2" t="s">
        <v>19</v>
      </c>
      <c r="G66" s="2" t="s">
        <v>69</v>
      </c>
      <c r="H66" s="2" t="s">
        <v>274</v>
      </c>
      <c r="I66" s="2">
        <v>1</v>
      </c>
      <c r="J66" s="2">
        <v>1100</v>
      </c>
      <c r="K66" s="2">
        <v>5</v>
      </c>
      <c r="L66" s="2">
        <v>1045</v>
      </c>
      <c r="M66" s="2" t="s">
        <v>71</v>
      </c>
      <c r="N66" s="2" t="s">
        <v>23</v>
      </c>
      <c r="O66" s="2">
        <v>0</v>
      </c>
      <c r="P66" s="6">
        <f t="shared" si="0"/>
        <v>1100</v>
      </c>
      <c r="Q66" s="6">
        <f t="shared" si="1"/>
        <v>55</v>
      </c>
      <c r="R66" s="6">
        <f t="shared" si="2"/>
        <v>209</v>
      </c>
      <c r="S66" s="6" t="str">
        <f t="shared" si="3"/>
        <v>Jan</v>
      </c>
      <c r="T66" s="6">
        <f t="shared" si="4"/>
        <v>2023</v>
      </c>
      <c r="U66" s="6" t="str">
        <f t="shared" si="5"/>
        <v>Fast</v>
      </c>
      <c r="V66" s="6" t="str">
        <f t="shared" si="6"/>
        <v>Normal</v>
      </c>
      <c r="W66" s="6" t="str">
        <f t="shared" si="7"/>
        <v>No</v>
      </c>
    </row>
    <row r="67" spans="1:23" x14ac:dyDescent="0.3">
      <c r="A67" s="9" t="s">
        <v>275</v>
      </c>
      <c r="B67" s="5">
        <v>44987</v>
      </c>
      <c r="C67" s="4" t="s">
        <v>196</v>
      </c>
      <c r="D67" s="4" t="s">
        <v>197</v>
      </c>
      <c r="E67" s="4" t="s">
        <v>176</v>
      </c>
      <c r="F67" s="4" t="s">
        <v>177</v>
      </c>
      <c r="G67" s="4" t="s">
        <v>91</v>
      </c>
      <c r="H67" s="4" t="s">
        <v>276</v>
      </c>
      <c r="I67" s="4">
        <v>1</v>
      </c>
      <c r="J67" s="4">
        <v>1200</v>
      </c>
      <c r="K67" s="4">
        <v>5</v>
      </c>
      <c r="L67" s="4">
        <v>1140</v>
      </c>
      <c r="M67" s="4" t="s">
        <v>22</v>
      </c>
      <c r="N67" s="4" t="s">
        <v>23</v>
      </c>
      <c r="O67" s="4">
        <v>0</v>
      </c>
      <c r="P67" s="6">
        <f t="shared" ref="P67:P130" si="8">I67*J67</f>
        <v>1200</v>
      </c>
      <c r="Q67" s="6">
        <f t="shared" ref="Q67:Q130" si="9">P67*(K67/100)</f>
        <v>60</v>
      </c>
      <c r="R67" s="6">
        <f t="shared" ref="R67:R130" si="10">L67*0.2</f>
        <v>228</v>
      </c>
      <c r="S67" s="6" t="str">
        <f t="shared" ref="S67:S130" si="11">TEXT(B67,"MMM")</f>
        <v>Mar</v>
      </c>
      <c r="T67" s="6">
        <f t="shared" ref="T67:T130" si="12">YEAR(B67)</f>
        <v>2023</v>
      </c>
      <c r="U67" s="6" t="str">
        <f t="shared" ref="U67:U130" si="13">IF(O67&lt;=3,"Fast","Delayed")</f>
        <v>Fast</v>
      </c>
      <c r="V67" s="6" t="str">
        <f t="shared" ref="V67:V130" si="14">IF(L67&gt;5000,"High Value","Normal")</f>
        <v>Normal</v>
      </c>
      <c r="W67" s="6" t="str">
        <f t="shared" ref="W67:W130" si="15">IF(WEEKDAY(B67,2)&gt;5,"Yes","No")</f>
        <v>No</v>
      </c>
    </row>
    <row r="68" spans="1:23" x14ac:dyDescent="0.3">
      <c r="A68" s="8" t="s">
        <v>277</v>
      </c>
      <c r="B68" s="3">
        <v>44984</v>
      </c>
      <c r="C68" s="2" t="s">
        <v>140</v>
      </c>
      <c r="D68" s="2" t="s">
        <v>141</v>
      </c>
      <c r="E68" s="2" t="s">
        <v>68</v>
      </c>
      <c r="F68" s="2" t="s">
        <v>19</v>
      </c>
      <c r="G68" s="2" t="s">
        <v>69</v>
      </c>
      <c r="H68" s="2" t="s">
        <v>142</v>
      </c>
      <c r="I68" s="2">
        <v>1</v>
      </c>
      <c r="J68" s="2">
        <v>699</v>
      </c>
      <c r="K68" s="2">
        <v>0</v>
      </c>
      <c r="L68" s="2">
        <v>699</v>
      </c>
      <c r="M68" s="2" t="s">
        <v>43</v>
      </c>
      <c r="N68" s="2" t="s">
        <v>37</v>
      </c>
      <c r="O68" s="2">
        <v>2</v>
      </c>
      <c r="P68" s="6">
        <f t="shared" si="8"/>
        <v>699</v>
      </c>
      <c r="Q68" s="6">
        <f t="shared" si="9"/>
        <v>0</v>
      </c>
      <c r="R68" s="6">
        <f t="shared" si="10"/>
        <v>139.80000000000001</v>
      </c>
      <c r="S68" s="6" t="str">
        <f t="shared" si="11"/>
        <v>Feb</v>
      </c>
      <c r="T68" s="6">
        <f t="shared" si="12"/>
        <v>2023</v>
      </c>
      <c r="U68" s="6" t="str">
        <f t="shared" si="13"/>
        <v>Fast</v>
      </c>
      <c r="V68" s="6" t="str">
        <f t="shared" si="14"/>
        <v>Normal</v>
      </c>
      <c r="W68" s="6" t="str">
        <f t="shared" si="15"/>
        <v>No</v>
      </c>
    </row>
    <row r="69" spans="1:23" x14ac:dyDescent="0.3">
      <c r="A69" s="9" t="s">
        <v>278</v>
      </c>
      <c r="B69" s="5">
        <v>45037</v>
      </c>
      <c r="C69" s="4" t="s">
        <v>279</v>
      </c>
      <c r="D69" s="4" t="s">
        <v>280</v>
      </c>
      <c r="E69" s="4" t="s">
        <v>35</v>
      </c>
      <c r="F69" s="4" t="s">
        <v>19</v>
      </c>
      <c r="G69" s="4" t="s">
        <v>149</v>
      </c>
      <c r="H69" s="4" t="s">
        <v>281</v>
      </c>
      <c r="I69" s="4">
        <v>1</v>
      </c>
      <c r="J69" s="4">
        <v>120</v>
      </c>
      <c r="K69" s="4">
        <v>15</v>
      </c>
      <c r="L69" s="4">
        <v>102</v>
      </c>
      <c r="M69" s="4" t="s">
        <v>143</v>
      </c>
      <c r="N69" s="4" t="s">
        <v>64</v>
      </c>
      <c r="O69" s="4">
        <v>1</v>
      </c>
      <c r="P69" s="6">
        <f t="shared" si="8"/>
        <v>120</v>
      </c>
      <c r="Q69" s="6">
        <f t="shared" si="9"/>
        <v>18</v>
      </c>
      <c r="R69" s="6">
        <f t="shared" si="10"/>
        <v>20.400000000000002</v>
      </c>
      <c r="S69" s="6" t="str">
        <f t="shared" si="11"/>
        <v>Apr</v>
      </c>
      <c r="T69" s="6">
        <f t="shared" si="12"/>
        <v>2023</v>
      </c>
      <c r="U69" s="6" t="str">
        <f t="shared" si="13"/>
        <v>Fast</v>
      </c>
      <c r="V69" s="6" t="str">
        <f t="shared" si="14"/>
        <v>Normal</v>
      </c>
      <c r="W69" s="6" t="str">
        <f t="shared" si="15"/>
        <v>No</v>
      </c>
    </row>
    <row r="70" spans="1:23" x14ac:dyDescent="0.3">
      <c r="A70" s="8" t="s">
        <v>282</v>
      </c>
      <c r="B70" s="3">
        <v>45319</v>
      </c>
      <c r="C70" s="2" t="s">
        <v>39</v>
      </c>
      <c r="D70" s="2" t="s">
        <v>40</v>
      </c>
      <c r="E70" s="2" t="s">
        <v>41</v>
      </c>
      <c r="F70" s="2" t="s">
        <v>19</v>
      </c>
      <c r="G70" s="2" t="s">
        <v>54</v>
      </c>
      <c r="H70" s="2" t="s">
        <v>172</v>
      </c>
      <c r="I70" s="2">
        <v>4</v>
      </c>
      <c r="J70" s="2">
        <v>130</v>
      </c>
      <c r="K70" s="2">
        <v>0</v>
      </c>
      <c r="L70" s="2">
        <v>520</v>
      </c>
      <c r="M70" s="2" t="s">
        <v>143</v>
      </c>
      <c r="N70" s="2" t="s">
        <v>37</v>
      </c>
      <c r="O70" s="2">
        <v>4</v>
      </c>
      <c r="P70" s="6">
        <f t="shared" si="8"/>
        <v>520</v>
      </c>
      <c r="Q70" s="6">
        <f t="shared" si="9"/>
        <v>0</v>
      </c>
      <c r="R70" s="6">
        <f t="shared" si="10"/>
        <v>104</v>
      </c>
      <c r="S70" s="6" t="str">
        <f t="shared" si="11"/>
        <v>Jan</v>
      </c>
      <c r="T70" s="6">
        <f t="shared" si="12"/>
        <v>2024</v>
      </c>
      <c r="U70" s="6" t="str">
        <f t="shared" si="13"/>
        <v>Delayed</v>
      </c>
      <c r="V70" s="6" t="str">
        <f t="shared" si="14"/>
        <v>Normal</v>
      </c>
      <c r="W70" s="6" t="str">
        <f t="shared" si="15"/>
        <v>Yes</v>
      </c>
    </row>
    <row r="71" spans="1:23" x14ac:dyDescent="0.3">
      <c r="A71" s="9" t="s">
        <v>283</v>
      </c>
      <c r="B71" s="5">
        <v>44975</v>
      </c>
      <c r="C71" s="4" t="s">
        <v>241</v>
      </c>
      <c r="D71" s="4" t="s">
        <v>242</v>
      </c>
      <c r="E71" s="4" t="s">
        <v>230</v>
      </c>
      <c r="F71" s="4" t="s">
        <v>19</v>
      </c>
      <c r="G71" s="4" t="s">
        <v>20</v>
      </c>
      <c r="H71" s="4" t="s">
        <v>63</v>
      </c>
      <c r="I71" s="4">
        <v>3</v>
      </c>
      <c r="J71" s="4">
        <v>2800</v>
      </c>
      <c r="K71" s="4">
        <v>10</v>
      </c>
      <c r="L71" s="4">
        <v>7560</v>
      </c>
      <c r="M71" s="4" t="s">
        <v>71</v>
      </c>
      <c r="N71" s="4" t="s">
        <v>64</v>
      </c>
      <c r="O71" s="4">
        <v>3</v>
      </c>
      <c r="P71" s="6">
        <f t="shared" si="8"/>
        <v>8400</v>
      </c>
      <c r="Q71" s="6">
        <f t="shared" si="9"/>
        <v>840</v>
      </c>
      <c r="R71" s="6">
        <f t="shared" si="10"/>
        <v>1512</v>
      </c>
      <c r="S71" s="6" t="str">
        <f t="shared" si="11"/>
        <v>Feb</v>
      </c>
      <c r="T71" s="6">
        <f t="shared" si="12"/>
        <v>2023</v>
      </c>
      <c r="U71" s="6" t="str">
        <f t="shared" si="13"/>
        <v>Fast</v>
      </c>
      <c r="V71" s="6" t="str">
        <f t="shared" si="14"/>
        <v>High Value</v>
      </c>
      <c r="W71" s="6" t="str">
        <f t="shared" si="15"/>
        <v>Yes</v>
      </c>
    </row>
    <row r="72" spans="1:23" x14ac:dyDescent="0.3">
      <c r="A72" s="8" t="s">
        <v>284</v>
      </c>
      <c r="B72" s="3">
        <v>44955</v>
      </c>
      <c r="C72" s="2" t="s">
        <v>50</v>
      </c>
      <c r="D72" s="2" t="s">
        <v>51</v>
      </c>
      <c r="E72" s="2" t="s">
        <v>52</v>
      </c>
      <c r="F72" s="2" t="s">
        <v>53</v>
      </c>
      <c r="G72" s="2" t="s">
        <v>47</v>
      </c>
      <c r="H72" s="2" t="s">
        <v>285</v>
      </c>
      <c r="I72" s="2">
        <v>1</v>
      </c>
      <c r="J72" s="2">
        <v>1800</v>
      </c>
      <c r="K72" s="2">
        <v>5</v>
      </c>
      <c r="L72" s="2">
        <v>1710</v>
      </c>
      <c r="M72" s="2" t="s">
        <v>30</v>
      </c>
      <c r="N72" s="2" t="s">
        <v>31</v>
      </c>
      <c r="O72" s="2">
        <v>2</v>
      </c>
      <c r="P72" s="6">
        <f t="shared" si="8"/>
        <v>1800</v>
      </c>
      <c r="Q72" s="6">
        <f t="shared" si="9"/>
        <v>90</v>
      </c>
      <c r="R72" s="6">
        <f t="shared" si="10"/>
        <v>342</v>
      </c>
      <c r="S72" s="6" t="str">
        <f t="shared" si="11"/>
        <v>Jan</v>
      </c>
      <c r="T72" s="6">
        <f t="shared" si="12"/>
        <v>2023</v>
      </c>
      <c r="U72" s="6" t="str">
        <f t="shared" si="13"/>
        <v>Fast</v>
      </c>
      <c r="V72" s="6" t="str">
        <f t="shared" si="14"/>
        <v>Normal</v>
      </c>
      <c r="W72" s="6" t="str">
        <f t="shared" si="15"/>
        <v>Yes</v>
      </c>
    </row>
    <row r="73" spans="1:23" x14ac:dyDescent="0.3">
      <c r="A73" s="9" t="s">
        <v>286</v>
      </c>
      <c r="B73" s="5">
        <v>45149</v>
      </c>
      <c r="C73" s="4" t="s">
        <v>161</v>
      </c>
      <c r="D73" s="4" t="s">
        <v>162</v>
      </c>
      <c r="E73" s="4" t="s">
        <v>83</v>
      </c>
      <c r="F73" s="4" t="s">
        <v>19</v>
      </c>
      <c r="G73" s="4" t="s">
        <v>47</v>
      </c>
      <c r="H73" s="4" t="s">
        <v>285</v>
      </c>
      <c r="I73" s="4">
        <v>2</v>
      </c>
      <c r="J73" s="4">
        <v>1800</v>
      </c>
      <c r="K73" s="4">
        <v>5</v>
      </c>
      <c r="L73" s="4">
        <v>3420</v>
      </c>
      <c r="M73" s="4" t="s">
        <v>71</v>
      </c>
      <c r="N73" s="4" t="s">
        <v>37</v>
      </c>
      <c r="O73" s="4">
        <v>10</v>
      </c>
      <c r="P73" s="6">
        <f t="shared" si="8"/>
        <v>3600</v>
      </c>
      <c r="Q73" s="6">
        <f t="shared" si="9"/>
        <v>180</v>
      </c>
      <c r="R73" s="6">
        <f t="shared" si="10"/>
        <v>684</v>
      </c>
      <c r="S73" s="6" t="str">
        <f t="shared" si="11"/>
        <v>Aug</v>
      </c>
      <c r="T73" s="6">
        <f t="shared" si="12"/>
        <v>2023</v>
      </c>
      <c r="U73" s="6" t="str">
        <f t="shared" si="13"/>
        <v>Delayed</v>
      </c>
      <c r="V73" s="6" t="str">
        <f t="shared" si="14"/>
        <v>Normal</v>
      </c>
      <c r="W73" s="6" t="str">
        <f t="shared" si="15"/>
        <v>No</v>
      </c>
    </row>
    <row r="74" spans="1:23" x14ac:dyDescent="0.3">
      <c r="A74" s="8" t="s">
        <v>287</v>
      </c>
      <c r="B74" s="3">
        <v>45202</v>
      </c>
      <c r="C74" s="2" t="s">
        <v>25</v>
      </c>
      <c r="D74" s="2" t="s">
        <v>26</v>
      </c>
      <c r="E74" s="2" t="s">
        <v>27</v>
      </c>
      <c r="F74" s="2" t="s">
        <v>19</v>
      </c>
      <c r="G74" s="2" t="s">
        <v>126</v>
      </c>
      <c r="H74" s="2" t="s">
        <v>231</v>
      </c>
      <c r="I74" s="2">
        <v>2</v>
      </c>
      <c r="J74" s="2">
        <v>350</v>
      </c>
      <c r="K74" s="2">
        <v>5</v>
      </c>
      <c r="L74" s="2">
        <v>665</v>
      </c>
      <c r="M74" s="2" t="s">
        <v>143</v>
      </c>
      <c r="N74" s="2" t="s">
        <v>37</v>
      </c>
      <c r="O74" s="2">
        <v>1</v>
      </c>
      <c r="P74" s="6">
        <f t="shared" si="8"/>
        <v>700</v>
      </c>
      <c r="Q74" s="6">
        <f t="shared" si="9"/>
        <v>35</v>
      </c>
      <c r="R74" s="6">
        <f t="shared" si="10"/>
        <v>133</v>
      </c>
      <c r="S74" s="6" t="str">
        <f t="shared" si="11"/>
        <v>Oct</v>
      </c>
      <c r="T74" s="6">
        <f t="shared" si="12"/>
        <v>2023</v>
      </c>
      <c r="U74" s="6" t="str">
        <f t="shared" si="13"/>
        <v>Fast</v>
      </c>
      <c r="V74" s="6" t="str">
        <f t="shared" si="14"/>
        <v>Normal</v>
      </c>
      <c r="W74" s="6" t="str">
        <f t="shared" si="15"/>
        <v>No</v>
      </c>
    </row>
    <row r="75" spans="1:23" x14ac:dyDescent="0.3">
      <c r="A75" s="9" t="s">
        <v>288</v>
      </c>
      <c r="B75" s="5">
        <v>45332</v>
      </c>
      <c r="C75" s="4" t="s">
        <v>289</v>
      </c>
      <c r="D75" s="4" t="s">
        <v>290</v>
      </c>
      <c r="E75" s="4" t="s">
        <v>41</v>
      </c>
      <c r="F75" s="4" t="s">
        <v>19</v>
      </c>
      <c r="G75" s="4" t="s">
        <v>91</v>
      </c>
      <c r="H75" s="4" t="s">
        <v>291</v>
      </c>
      <c r="I75" s="4">
        <v>4</v>
      </c>
      <c r="J75" s="4">
        <v>45000</v>
      </c>
      <c r="K75" s="4">
        <v>5</v>
      </c>
      <c r="L75" s="4">
        <v>171000</v>
      </c>
      <c r="M75" s="4" t="s">
        <v>43</v>
      </c>
      <c r="N75" s="4" t="s">
        <v>23</v>
      </c>
      <c r="O75" s="4">
        <v>0</v>
      </c>
      <c r="P75" s="6">
        <f t="shared" si="8"/>
        <v>180000</v>
      </c>
      <c r="Q75" s="6">
        <f t="shared" si="9"/>
        <v>9000</v>
      </c>
      <c r="R75" s="6">
        <f t="shared" si="10"/>
        <v>34200</v>
      </c>
      <c r="S75" s="6" t="str">
        <f t="shared" si="11"/>
        <v>Feb</v>
      </c>
      <c r="T75" s="6">
        <f t="shared" si="12"/>
        <v>2024</v>
      </c>
      <c r="U75" s="6" t="str">
        <f t="shared" si="13"/>
        <v>Fast</v>
      </c>
      <c r="V75" s="6" t="str">
        <f t="shared" si="14"/>
        <v>High Value</v>
      </c>
      <c r="W75" s="6" t="str">
        <f t="shared" si="15"/>
        <v>Yes</v>
      </c>
    </row>
    <row r="76" spans="1:23" x14ac:dyDescent="0.3">
      <c r="A76" s="8" t="s">
        <v>292</v>
      </c>
      <c r="B76" s="3">
        <v>45424</v>
      </c>
      <c r="C76" s="2" t="s">
        <v>258</v>
      </c>
      <c r="D76" s="2" t="s">
        <v>259</v>
      </c>
      <c r="E76" s="2" t="s">
        <v>260</v>
      </c>
      <c r="F76" s="2" t="s">
        <v>19</v>
      </c>
      <c r="G76" s="2" t="s">
        <v>149</v>
      </c>
      <c r="H76" s="2" t="s">
        <v>226</v>
      </c>
      <c r="I76" s="2">
        <v>1</v>
      </c>
      <c r="J76" s="2">
        <v>350</v>
      </c>
      <c r="K76" s="2">
        <v>15</v>
      </c>
      <c r="L76" s="2">
        <v>297.5</v>
      </c>
      <c r="M76" s="2" t="s">
        <v>43</v>
      </c>
      <c r="N76" s="2" t="s">
        <v>37</v>
      </c>
      <c r="O76" s="2">
        <v>10</v>
      </c>
      <c r="P76" s="6">
        <f t="shared" si="8"/>
        <v>350</v>
      </c>
      <c r="Q76" s="6">
        <f t="shared" si="9"/>
        <v>52.5</v>
      </c>
      <c r="R76" s="6">
        <f t="shared" si="10"/>
        <v>59.5</v>
      </c>
      <c r="S76" s="6" t="str">
        <f t="shared" si="11"/>
        <v>May</v>
      </c>
      <c r="T76" s="6">
        <f t="shared" si="12"/>
        <v>2024</v>
      </c>
      <c r="U76" s="6" t="str">
        <f t="shared" si="13"/>
        <v>Delayed</v>
      </c>
      <c r="V76" s="6" t="str">
        <f t="shared" si="14"/>
        <v>Normal</v>
      </c>
      <c r="W76" s="6" t="str">
        <f t="shared" si="15"/>
        <v>Yes</v>
      </c>
    </row>
    <row r="77" spans="1:23" x14ac:dyDescent="0.3">
      <c r="A77" s="9" t="s">
        <v>293</v>
      </c>
      <c r="B77" s="5">
        <v>45405</v>
      </c>
      <c r="C77" s="4" t="s">
        <v>294</v>
      </c>
      <c r="D77" s="4" t="s">
        <v>295</v>
      </c>
      <c r="E77" s="4" t="s">
        <v>52</v>
      </c>
      <c r="F77" s="4" t="s">
        <v>53</v>
      </c>
      <c r="G77" s="4" t="s">
        <v>28</v>
      </c>
      <c r="H77" s="4" t="s">
        <v>129</v>
      </c>
      <c r="I77" s="4">
        <v>1</v>
      </c>
      <c r="J77" s="4">
        <v>380</v>
      </c>
      <c r="K77" s="4">
        <v>15</v>
      </c>
      <c r="L77" s="4">
        <v>323</v>
      </c>
      <c r="M77" s="4" t="s">
        <v>107</v>
      </c>
      <c r="N77" s="4" t="s">
        <v>37</v>
      </c>
      <c r="O77" s="4">
        <v>3</v>
      </c>
      <c r="P77" s="6">
        <f t="shared" si="8"/>
        <v>380</v>
      </c>
      <c r="Q77" s="6">
        <f t="shared" si="9"/>
        <v>57</v>
      </c>
      <c r="R77" s="6">
        <f t="shared" si="10"/>
        <v>64.600000000000009</v>
      </c>
      <c r="S77" s="6" t="str">
        <f t="shared" si="11"/>
        <v>Apr</v>
      </c>
      <c r="T77" s="6">
        <f t="shared" si="12"/>
        <v>2024</v>
      </c>
      <c r="U77" s="6" t="str">
        <f t="shared" si="13"/>
        <v>Fast</v>
      </c>
      <c r="V77" s="6" t="str">
        <f t="shared" si="14"/>
        <v>Normal</v>
      </c>
      <c r="W77" s="6" t="str">
        <f t="shared" si="15"/>
        <v>No</v>
      </c>
    </row>
    <row r="78" spans="1:23" x14ac:dyDescent="0.3">
      <c r="A78" s="8" t="s">
        <v>296</v>
      </c>
      <c r="B78" s="3">
        <v>45330</v>
      </c>
      <c r="C78" s="2" t="s">
        <v>297</v>
      </c>
      <c r="D78" s="2" t="s">
        <v>298</v>
      </c>
      <c r="E78" s="2" t="s">
        <v>299</v>
      </c>
      <c r="F78" s="2" t="s">
        <v>19</v>
      </c>
      <c r="G78" s="2" t="s">
        <v>28</v>
      </c>
      <c r="H78" s="2" t="s">
        <v>300</v>
      </c>
      <c r="I78" s="2">
        <v>3</v>
      </c>
      <c r="J78" s="2">
        <v>320</v>
      </c>
      <c r="K78" s="2">
        <v>20</v>
      </c>
      <c r="L78" s="2">
        <v>768</v>
      </c>
      <c r="M78" s="2" t="s">
        <v>143</v>
      </c>
      <c r="N78" s="2" t="s">
        <v>23</v>
      </c>
      <c r="O78" s="2">
        <v>0</v>
      </c>
      <c r="P78" s="6">
        <f t="shared" si="8"/>
        <v>960</v>
      </c>
      <c r="Q78" s="6">
        <f t="shared" si="9"/>
        <v>192</v>
      </c>
      <c r="R78" s="6">
        <f t="shared" si="10"/>
        <v>153.60000000000002</v>
      </c>
      <c r="S78" s="6" t="str">
        <f t="shared" si="11"/>
        <v>Feb</v>
      </c>
      <c r="T78" s="6">
        <f t="shared" si="12"/>
        <v>2024</v>
      </c>
      <c r="U78" s="6" t="str">
        <f t="shared" si="13"/>
        <v>Fast</v>
      </c>
      <c r="V78" s="6" t="str">
        <f t="shared" si="14"/>
        <v>Normal</v>
      </c>
      <c r="W78" s="6" t="str">
        <f t="shared" si="15"/>
        <v>No</v>
      </c>
    </row>
    <row r="79" spans="1:23" x14ac:dyDescent="0.3">
      <c r="A79" s="9" t="s">
        <v>301</v>
      </c>
      <c r="B79" s="5">
        <v>45228</v>
      </c>
      <c r="C79" s="4" t="s">
        <v>302</v>
      </c>
      <c r="D79" s="4" t="s">
        <v>303</v>
      </c>
      <c r="E79" s="4" t="s">
        <v>230</v>
      </c>
      <c r="F79" s="4" t="s">
        <v>19</v>
      </c>
      <c r="G79" s="4" t="s">
        <v>149</v>
      </c>
      <c r="H79" s="4" t="s">
        <v>182</v>
      </c>
      <c r="I79" s="4">
        <v>1</v>
      </c>
      <c r="J79" s="4">
        <v>180</v>
      </c>
      <c r="K79" s="4">
        <v>5</v>
      </c>
      <c r="L79" s="4">
        <v>171</v>
      </c>
      <c r="M79" s="4" t="s">
        <v>30</v>
      </c>
      <c r="N79" s="4" t="s">
        <v>37</v>
      </c>
      <c r="O79" s="4">
        <v>6</v>
      </c>
      <c r="P79" s="6">
        <f t="shared" si="8"/>
        <v>180</v>
      </c>
      <c r="Q79" s="6">
        <f t="shared" si="9"/>
        <v>9</v>
      </c>
      <c r="R79" s="6">
        <f t="shared" si="10"/>
        <v>34.200000000000003</v>
      </c>
      <c r="S79" s="6" t="str">
        <f t="shared" si="11"/>
        <v>Oct</v>
      </c>
      <c r="T79" s="6">
        <f t="shared" si="12"/>
        <v>2023</v>
      </c>
      <c r="U79" s="6" t="str">
        <f t="shared" si="13"/>
        <v>Delayed</v>
      </c>
      <c r="V79" s="6" t="str">
        <f t="shared" si="14"/>
        <v>Normal</v>
      </c>
      <c r="W79" s="6" t="str">
        <f t="shared" si="15"/>
        <v>Yes</v>
      </c>
    </row>
    <row r="80" spans="1:23" x14ac:dyDescent="0.3">
      <c r="A80" s="8" t="s">
        <v>304</v>
      </c>
      <c r="B80" s="3">
        <v>45361</v>
      </c>
      <c r="C80" s="2" t="s">
        <v>50</v>
      </c>
      <c r="D80" s="2" t="s">
        <v>51</v>
      </c>
      <c r="E80" s="2" t="s">
        <v>52</v>
      </c>
      <c r="F80" s="2" t="s">
        <v>53</v>
      </c>
      <c r="G80" s="2" t="s">
        <v>47</v>
      </c>
      <c r="H80" s="2" t="s">
        <v>217</v>
      </c>
      <c r="I80" s="2">
        <v>3</v>
      </c>
      <c r="J80" s="2">
        <v>1200</v>
      </c>
      <c r="K80" s="2">
        <v>15</v>
      </c>
      <c r="L80" s="2">
        <v>3060</v>
      </c>
      <c r="M80" s="2" t="s">
        <v>143</v>
      </c>
      <c r="N80" s="2" t="s">
        <v>37</v>
      </c>
      <c r="O80" s="2">
        <v>2</v>
      </c>
      <c r="P80" s="6">
        <f t="shared" si="8"/>
        <v>3600</v>
      </c>
      <c r="Q80" s="6">
        <f t="shared" si="9"/>
        <v>540</v>
      </c>
      <c r="R80" s="6">
        <f t="shared" si="10"/>
        <v>612</v>
      </c>
      <c r="S80" s="6" t="str">
        <f t="shared" si="11"/>
        <v>Mar</v>
      </c>
      <c r="T80" s="6">
        <f t="shared" si="12"/>
        <v>2024</v>
      </c>
      <c r="U80" s="6" t="str">
        <f t="shared" si="13"/>
        <v>Fast</v>
      </c>
      <c r="V80" s="6" t="str">
        <f t="shared" si="14"/>
        <v>Normal</v>
      </c>
      <c r="W80" s="6" t="str">
        <f t="shared" si="15"/>
        <v>Yes</v>
      </c>
    </row>
    <row r="81" spans="1:23" x14ac:dyDescent="0.3">
      <c r="A81" s="9" t="s">
        <v>305</v>
      </c>
      <c r="B81" s="5">
        <v>45389</v>
      </c>
      <c r="C81" s="4" t="s">
        <v>297</v>
      </c>
      <c r="D81" s="4" t="s">
        <v>298</v>
      </c>
      <c r="E81" s="4" t="s">
        <v>299</v>
      </c>
      <c r="F81" s="4" t="s">
        <v>19</v>
      </c>
      <c r="G81" s="4" t="s">
        <v>28</v>
      </c>
      <c r="H81" s="4" t="s">
        <v>306</v>
      </c>
      <c r="I81" s="4">
        <v>2</v>
      </c>
      <c r="J81" s="4">
        <v>260</v>
      </c>
      <c r="K81" s="4">
        <v>0</v>
      </c>
      <c r="L81" s="4">
        <v>520</v>
      </c>
      <c r="M81" s="4" t="s">
        <v>43</v>
      </c>
      <c r="N81" s="4" t="s">
        <v>37</v>
      </c>
      <c r="O81" s="4">
        <v>1</v>
      </c>
      <c r="P81" s="6">
        <f t="shared" si="8"/>
        <v>520</v>
      </c>
      <c r="Q81" s="6">
        <f t="shared" si="9"/>
        <v>0</v>
      </c>
      <c r="R81" s="6">
        <f t="shared" si="10"/>
        <v>104</v>
      </c>
      <c r="S81" s="6" t="str">
        <f t="shared" si="11"/>
        <v>Apr</v>
      </c>
      <c r="T81" s="6">
        <f t="shared" si="12"/>
        <v>2024</v>
      </c>
      <c r="U81" s="6" t="str">
        <f t="shared" si="13"/>
        <v>Fast</v>
      </c>
      <c r="V81" s="6" t="str">
        <f t="shared" si="14"/>
        <v>Normal</v>
      </c>
      <c r="W81" s="6" t="str">
        <f t="shared" si="15"/>
        <v>Yes</v>
      </c>
    </row>
    <row r="82" spans="1:23" x14ac:dyDescent="0.3">
      <c r="A82" s="8" t="s">
        <v>307</v>
      </c>
      <c r="B82" s="3">
        <v>45270</v>
      </c>
      <c r="C82" s="2" t="s">
        <v>118</v>
      </c>
      <c r="D82" s="2" t="s">
        <v>119</v>
      </c>
      <c r="E82" s="2" t="s">
        <v>35</v>
      </c>
      <c r="F82" s="2" t="s">
        <v>19</v>
      </c>
      <c r="G82" s="2" t="s">
        <v>126</v>
      </c>
      <c r="H82" s="2" t="s">
        <v>308</v>
      </c>
      <c r="I82" s="2">
        <v>1</v>
      </c>
      <c r="J82" s="2">
        <v>1500</v>
      </c>
      <c r="K82" s="2">
        <v>0</v>
      </c>
      <c r="L82" s="2">
        <v>1500</v>
      </c>
      <c r="M82" s="2" t="s">
        <v>107</v>
      </c>
      <c r="N82" s="2" t="s">
        <v>37</v>
      </c>
      <c r="O82" s="2">
        <v>2</v>
      </c>
      <c r="P82" s="6">
        <f t="shared" si="8"/>
        <v>1500</v>
      </c>
      <c r="Q82" s="6">
        <f t="shared" si="9"/>
        <v>0</v>
      </c>
      <c r="R82" s="6">
        <f t="shared" si="10"/>
        <v>300</v>
      </c>
      <c r="S82" s="6" t="str">
        <f t="shared" si="11"/>
        <v>Dec</v>
      </c>
      <c r="T82" s="6">
        <f t="shared" si="12"/>
        <v>2023</v>
      </c>
      <c r="U82" s="6" t="str">
        <f t="shared" si="13"/>
        <v>Fast</v>
      </c>
      <c r="V82" s="6" t="str">
        <f t="shared" si="14"/>
        <v>Normal</v>
      </c>
      <c r="W82" s="6" t="str">
        <f t="shared" si="15"/>
        <v>Yes</v>
      </c>
    </row>
    <row r="83" spans="1:23" x14ac:dyDescent="0.3">
      <c r="A83" s="9" t="s">
        <v>309</v>
      </c>
      <c r="B83" s="5">
        <v>45309</v>
      </c>
      <c r="C83" s="4" t="s">
        <v>310</v>
      </c>
      <c r="D83" s="4" t="s">
        <v>311</v>
      </c>
      <c r="E83" s="4" t="s">
        <v>253</v>
      </c>
      <c r="F83" s="4" t="s">
        <v>155</v>
      </c>
      <c r="G83" s="4" t="s">
        <v>91</v>
      </c>
      <c r="H83" s="4" t="s">
        <v>163</v>
      </c>
      <c r="I83" s="4">
        <v>1</v>
      </c>
      <c r="J83" s="4">
        <v>900</v>
      </c>
      <c r="K83" s="4">
        <v>5</v>
      </c>
      <c r="L83" s="4">
        <v>855</v>
      </c>
      <c r="M83" s="4" t="s">
        <v>22</v>
      </c>
      <c r="N83" s="4" t="s">
        <v>37</v>
      </c>
      <c r="O83" s="4">
        <v>1</v>
      </c>
      <c r="P83" s="6">
        <f t="shared" si="8"/>
        <v>900</v>
      </c>
      <c r="Q83" s="6">
        <f t="shared" si="9"/>
        <v>45</v>
      </c>
      <c r="R83" s="6">
        <f t="shared" si="10"/>
        <v>171</v>
      </c>
      <c r="S83" s="6" t="str">
        <f t="shared" si="11"/>
        <v>Jan</v>
      </c>
      <c r="T83" s="6">
        <f t="shared" si="12"/>
        <v>2024</v>
      </c>
      <c r="U83" s="6" t="str">
        <f t="shared" si="13"/>
        <v>Fast</v>
      </c>
      <c r="V83" s="6" t="str">
        <f t="shared" si="14"/>
        <v>Normal</v>
      </c>
      <c r="W83" s="6" t="str">
        <f t="shared" si="15"/>
        <v>No</v>
      </c>
    </row>
    <row r="84" spans="1:23" x14ac:dyDescent="0.3">
      <c r="A84" s="8" t="s">
        <v>312</v>
      </c>
      <c r="B84" s="3">
        <v>45364</v>
      </c>
      <c r="C84" s="2" t="s">
        <v>50</v>
      </c>
      <c r="D84" s="2" t="s">
        <v>51</v>
      </c>
      <c r="E84" s="2" t="s">
        <v>52</v>
      </c>
      <c r="F84" s="2" t="s">
        <v>53</v>
      </c>
      <c r="G84" s="2" t="s">
        <v>47</v>
      </c>
      <c r="H84" s="2" t="s">
        <v>217</v>
      </c>
      <c r="I84" s="2">
        <v>4</v>
      </c>
      <c r="J84" s="2">
        <v>1200</v>
      </c>
      <c r="K84" s="2">
        <v>15</v>
      </c>
      <c r="L84" s="2">
        <v>4080</v>
      </c>
      <c r="M84" s="2" t="s">
        <v>143</v>
      </c>
      <c r="N84" s="2" t="s">
        <v>31</v>
      </c>
      <c r="O84" s="2">
        <v>2</v>
      </c>
      <c r="P84" s="6">
        <f t="shared" si="8"/>
        <v>4800</v>
      </c>
      <c r="Q84" s="6">
        <f t="shared" si="9"/>
        <v>720</v>
      </c>
      <c r="R84" s="6">
        <f t="shared" si="10"/>
        <v>816</v>
      </c>
      <c r="S84" s="6" t="str">
        <f t="shared" si="11"/>
        <v>Mar</v>
      </c>
      <c r="T84" s="6">
        <f t="shared" si="12"/>
        <v>2024</v>
      </c>
      <c r="U84" s="6" t="str">
        <f t="shared" si="13"/>
        <v>Fast</v>
      </c>
      <c r="V84" s="6" t="str">
        <f t="shared" si="14"/>
        <v>Normal</v>
      </c>
      <c r="W84" s="6" t="str">
        <f t="shared" si="15"/>
        <v>No</v>
      </c>
    </row>
    <row r="85" spans="1:23" x14ac:dyDescent="0.3">
      <c r="A85" s="9" t="s">
        <v>313</v>
      </c>
      <c r="B85" s="5">
        <v>45349</v>
      </c>
      <c r="C85" s="4" t="s">
        <v>314</v>
      </c>
      <c r="D85" s="4" t="s">
        <v>315</v>
      </c>
      <c r="E85" s="4" t="s">
        <v>260</v>
      </c>
      <c r="F85" s="4" t="s">
        <v>19</v>
      </c>
      <c r="G85" s="4" t="s">
        <v>69</v>
      </c>
      <c r="H85" s="4" t="s">
        <v>274</v>
      </c>
      <c r="I85" s="4">
        <v>1</v>
      </c>
      <c r="J85" s="4">
        <v>1100</v>
      </c>
      <c r="K85" s="4">
        <v>0</v>
      </c>
      <c r="L85" s="4">
        <v>1100</v>
      </c>
      <c r="M85" s="4" t="s">
        <v>143</v>
      </c>
      <c r="N85" s="4" t="s">
        <v>37</v>
      </c>
      <c r="O85" s="4">
        <v>8</v>
      </c>
      <c r="P85" s="6">
        <f t="shared" si="8"/>
        <v>1100</v>
      </c>
      <c r="Q85" s="6">
        <f t="shared" si="9"/>
        <v>0</v>
      </c>
      <c r="R85" s="6">
        <f t="shared" si="10"/>
        <v>220</v>
      </c>
      <c r="S85" s="6" t="str">
        <f t="shared" si="11"/>
        <v>Feb</v>
      </c>
      <c r="T85" s="6">
        <f t="shared" si="12"/>
        <v>2024</v>
      </c>
      <c r="U85" s="6" t="str">
        <f t="shared" si="13"/>
        <v>Delayed</v>
      </c>
      <c r="V85" s="6" t="str">
        <f t="shared" si="14"/>
        <v>Normal</v>
      </c>
      <c r="W85" s="6" t="str">
        <f t="shared" si="15"/>
        <v>No</v>
      </c>
    </row>
    <row r="86" spans="1:23" x14ac:dyDescent="0.3">
      <c r="A86" s="8" t="s">
        <v>316</v>
      </c>
      <c r="B86" s="3">
        <v>45101</v>
      </c>
      <c r="C86" s="2" t="s">
        <v>207</v>
      </c>
      <c r="D86" s="2" t="s">
        <v>208</v>
      </c>
      <c r="E86" s="2" t="s">
        <v>68</v>
      </c>
      <c r="F86" s="2" t="s">
        <v>19</v>
      </c>
      <c r="G86" s="2" t="s">
        <v>54</v>
      </c>
      <c r="H86" s="2" t="s">
        <v>86</v>
      </c>
      <c r="I86" s="2">
        <v>2</v>
      </c>
      <c r="J86" s="2">
        <v>450</v>
      </c>
      <c r="K86" s="2">
        <v>5</v>
      </c>
      <c r="L86" s="2">
        <v>855</v>
      </c>
      <c r="M86" s="2" t="s">
        <v>43</v>
      </c>
      <c r="N86" s="2" t="s">
        <v>37</v>
      </c>
      <c r="O86" s="2">
        <v>4</v>
      </c>
      <c r="P86" s="6">
        <f t="shared" si="8"/>
        <v>900</v>
      </c>
      <c r="Q86" s="6">
        <f t="shared" si="9"/>
        <v>45</v>
      </c>
      <c r="R86" s="6">
        <f t="shared" si="10"/>
        <v>171</v>
      </c>
      <c r="S86" s="6" t="str">
        <f t="shared" si="11"/>
        <v>Jun</v>
      </c>
      <c r="T86" s="6">
        <f t="shared" si="12"/>
        <v>2023</v>
      </c>
      <c r="U86" s="6" t="str">
        <f t="shared" si="13"/>
        <v>Delayed</v>
      </c>
      <c r="V86" s="6" t="str">
        <f t="shared" si="14"/>
        <v>Normal</v>
      </c>
      <c r="W86" s="6" t="str">
        <f t="shared" si="15"/>
        <v>Yes</v>
      </c>
    </row>
    <row r="87" spans="1:23" x14ac:dyDescent="0.3">
      <c r="A87" s="9" t="s">
        <v>317</v>
      </c>
      <c r="B87" s="5">
        <v>45317</v>
      </c>
      <c r="C87" s="4" t="s">
        <v>318</v>
      </c>
      <c r="D87" s="4" t="s">
        <v>319</v>
      </c>
      <c r="E87" s="4" t="s">
        <v>270</v>
      </c>
      <c r="F87" s="4" t="s">
        <v>19</v>
      </c>
      <c r="G87" s="4" t="s">
        <v>91</v>
      </c>
      <c r="H87" s="4" t="s">
        <v>320</v>
      </c>
      <c r="I87" s="4">
        <v>4</v>
      </c>
      <c r="J87" s="4">
        <v>28000</v>
      </c>
      <c r="K87" s="4">
        <v>0</v>
      </c>
      <c r="L87" s="4">
        <v>112000</v>
      </c>
      <c r="M87" s="4" t="s">
        <v>143</v>
      </c>
      <c r="N87" s="4" t="s">
        <v>31</v>
      </c>
      <c r="O87" s="4">
        <v>3</v>
      </c>
      <c r="P87" s="6">
        <f t="shared" si="8"/>
        <v>112000</v>
      </c>
      <c r="Q87" s="6">
        <f t="shared" si="9"/>
        <v>0</v>
      </c>
      <c r="R87" s="6">
        <f t="shared" si="10"/>
        <v>22400</v>
      </c>
      <c r="S87" s="6" t="str">
        <f t="shared" si="11"/>
        <v>Jan</v>
      </c>
      <c r="T87" s="6">
        <f t="shared" si="12"/>
        <v>2024</v>
      </c>
      <c r="U87" s="6" t="str">
        <f t="shared" si="13"/>
        <v>Fast</v>
      </c>
      <c r="V87" s="6" t="str">
        <f t="shared" si="14"/>
        <v>High Value</v>
      </c>
      <c r="W87" s="6" t="str">
        <f t="shared" si="15"/>
        <v>No</v>
      </c>
    </row>
    <row r="88" spans="1:23" x14ac:dyDescent="0.3">
      <c r="A88" s="8" t="s">
        <v>321</v>
      </c>
      <c r="B88" s="3">
        <v>45194</v>
      </c>
      <c r="C88" s="2" t="s">
        <v>33</v>
      </c>
      <c r="D88" s="2" t="s">
        <v>34</v>
      </c>
      <c r="E88" s="2" t="s">
        <v>35</v>
      </c>
      <c r="F88" s="2" t="s">
        <v>19</v>
      </c>
      <c r="G88" s="2" t="s">
        <v>28</v>
      </c>
      <c r="H88" s="2" t="s">
        <v>322</v>
      </c>
      <c r="I88" s="2">
        <v>4</v>
      </c>
      <c r="J88" s="2">
        <v>140</v>
      </c>
      <c r="K88" s="2">
        <v>10</v>
      </c>
      <c r="L88" s="2">
        <v>504</v>
      </c>
      <c r="M88" s="2" t="s">
        <v>22</v>
      </c>
      <c r="N88" s="2" t="s">
        <v>37</v>
      </c>
      <c r="O88" s="2">
        <v>1</v>
      </c>
      <c r="P88" s="6">
        <f t="shared" si="8"/>
        <v>560</v>
      </c>
      <c r="Q88" s="6">
        <f t="shared" si="9"/>
        <v>56</v>
      </c>
      <c r="R88" s="6">
        <f t="shared" si="10"/>
        <v>100.80000000000001</v>
      </c>
      <c r="S88" s="6" t="str">
        <f t="shared" si="11"/>
        <v>Sep</v>
      </c>
      <c r="T88" s="6">
        <f t="shared" si="12"/>
        <v>2023</v>
      </c>
      <c r="U88" s="6" t="str">
        <f t="shared" si="13"/>
        <v>Fast</v>
      </c>
      <c r="V88" s="6" t="str">
        <f t="shared" si="14"/>
        <v>Normal</v>
      </c>
      <c r="W88" s="6" t="str">
        <f t="shared" si="15"/>
        <v>No</v>
      </c>
    </row>
    <row r="89" spans="1:23" x14ac:dyDescent="0.3">
      <c r="A89" s="9" t="s">
        <v>323</v>
      </c>
      <c r="B89" s="5">
        <v>45068</v>
      </c>
      <c r="C89" s="4" t="s">
        <v>50</v>
      </c>
      <c r="D89" s="4" t="s">
        <v>51</v>
      </c>
      <c r="E89" s="4" t="s">
        <v>52</v>
      </c>
      <c r="F89" s="4" t="s">
        <v>53</v>
      </c>
      <c r="G89" s="4" t="s">
        <v>20</v>
      </c>
      <c r="H89" s="4" t="s">
        <v>63</v>
      </c>
      <c r="I89" s="4">
        <v>3</v>
      </c>
      <c r="J89" s="4">
        <v>2800</v>
      </c>
      <c r="K89" s="4">
        <v>10</v>
      </c>
      <c r="L89" s="4">
        <v>7560</v>
      </c>
      <c r="M89" s="4" t="s">
        <v>143</v>
      </c>
      <c r="N89" s="4" t="s">
        <v>23</v>
      </c>
      <c r="O89" s="4">
        <v>0</v>
      </c>
      <c r="P89" s="6">
        <f t="shared" si="8"/>
        <v>8400</v>
      </c>
      <c r="Q89" s="6">
        <f t="shared" si="9"/>
        <v>840</v>
      </c>
      <c r="R89" s="6">
        <f t="shared" si="10"/>
        <v>1512</v>
      </c>
      <c r="S89" s="6" t="str">
        <f t="shared" si="11"/>
        <v>May</v>
      </c>
      <c r="T89" s="6">
        <f t="shared" si="12"/>
        <v>2023</v>
      </c>
      <c r="U89" s="6" t="str">
        <f t="shared" si="13"/>
        <v>Fast</v>
      </c>
      <c r="V89" s="6" t="str">
        <f t="shared" si="14"/>
        <v>High Value</v>
      </c>
      <c r="W89" s="6" t="str">
        <f t="shared" si="15"/>
        <v>No</v>
      </c>
    </row>
    <row r="90" spans="1:23" x14ac:dyDescent="0.3">
      <c r="A90" s="8" t="s">
        <v>324</v>
      </c>
      <c r="B90" s="3">
        <v>45455</v>
      </c>
      <c r="C90" s="2" t="s">
        <v>325</v>
      </c>
      <c r="D90" s="2" t="s">
        <v>326</v>
      </c>
      <c r="E90" s="2" t="s">
        <v>270</v>
      </c>
      <c r="F90" s="2" t="s">
        <v>19</v>
      </c>
      <c r="G90" s="2" t="s">
        <v>20</v>
      </c>
      <c r="H90" s="2" t="s">
        <v>327</v>
      </c>
      <c r="I90" s="2">
        <v>2</v>
      </c>
      <c r="J90" s="2">
        <v>950</v>
      </c>
      <c r="K90" s="2">
        <v>0</v>
      </c>
      <c r="L90" s="2">
        <v>1900</v>
      </c>
      <c r="M90" s="2" t="s">
        <v>22</v>
      </c>
      <c r="N90" s="2" t="s">
        <v>37</v>
      </c>
      <c r="O90" s="2">
        <v>5</v>
      </c>
      <c r="P90" s="6">
        <f t="shared" si="8"/>
        <v>1900</v>
      </c>
      <c r="Q90" s="6">
        <f t="shared" si="9"/>
        <v>0</v>
      </c>
      <c r="R90" s="6">
        <f t="shared" si="10"/>
        <v>380</v>
      </c>
      <c r="S90" s="6" t="str">
        <f t="shared" si="11"/>
        <v>Jun</v>
      </c>
      <c r="T90" s="6">
        <f t="shared" si="12"/>
        <v>2024</v>
      </c>
      <c r="U90" s="6" t="str">
        <f t="shared" si="13"/>
        <v>Delayed</v>
      </c>
      <c r="V90" s="6" t="str">
        <f t="shared" si="14"/>
        <v>Normal</v>
      </c>
      <c r="W90" s="6" t="str">
        <f t="shared" si="15"/>
        <v>No</v>
      </c>
    </row>
    <row r="91" spans="1:23" x14ac:dyDescent="0.3">
      <c r="A91" s="9" t="s">
        <v>328</v>
      </c>
      <c r="B91" s="5">
        <v>45332</v>
      </c>
      <c r="C91" s="4" t="s">
        <v>88</v>
      </c>
      <c r="D91" s="4" t="s">
        <v>89</v>
      </c>
      <c r="E91" s="4" t="s">
        <v>90</v>
      </c>
      <c r="F91" s="4" t="s">
        <v>19</v>
      </c>
      <c r="G91" s="4" t="s">
        <v>69</v>
      </c>
      <c r="H91" s="4" t="s">
        <v>70</v>
      </c>
      <c r="I91" s="4">
        <v>3</v>
      </c>
      <c r="J91" s="4">
        <v>850</v>
      </c>
      <c r="K91" s="4">
        <v>15</v>
      </c>
      <c r="L91" s="4">
        <v>2167.5</v>
      </c>
      <c r="M91" s="4" t="s">
        <v>107</v>
      </c>
      <c r="N91" s="4" t="s">
        <v>23</v>
      </c>
      <c r="O91" s="4">
        <v>0</v>
      </c>
      <c r="P91" s="6">
        <f t="shared" si="8"/>
        <v>2550</v>
      </c>
      <c r="Q91" s="6">
        <f t="shared" si="9"/>
        <v>382.5</v>
      </c>
      <c r="R91" s="6">
        <f t="shared" si="10"/>
        <v>433.5</v>
      </c>
      <c r="S91" s="6" t="str">
        <f t="shared" si="11"/>
        <v>Feb</v>
      </c>
      <c r="T91" s="6">
        <f t="shared" si="12"/>
        <v>2024</v>
      </c>
      <c r="U91" s="6" t="str">
        <f t="shared" si="13"/>
        <v>Fast</v>
      </c>
      <c r="V91" s="6" t="str">
        <f t="shared" si="14"/>
        <v>Normal</v>
      </c>
      <c r="W91" s="6" t="str">
        <f t="shared" si="15"/>
        <v>Yes</v>
      </c>
    </row>
    <row r="92" spans="1:23" x14ac:dyDescent="0.3">
      <c r="A92" s="8" t="s">
        <v>329</v>
      </c>
      <c r="B92" s="3">
        <v>45318</v>
      </c>
      <c r="C92" s="2" t="s">
        <v>330</v>
      </c>
      <c r="D92" s="2" t="s">
        <v>331</v>
      </c>
      <c r="E92" s="2" t="s">
        <v>176</v>
      </c>
      <c r="F92" s="2" t="s">
        <v>177</v>
      </c>
      <c r="G92" s="2" t="s">
        <v>28</v>
      </c>
      <c r="H92" s="2" t="s">
        <v>98</v>
      </c>
      <c r="I92" s="2">
        <v>1</v>
      </c>
      <c r="J92" s="2">
        <v>220</v>
      </c>
      <c r="K92" s="2">
        <v>5</v>
      </c>
      <c r="L92" s="2">
        <v>209</v>
      </c>
      <c r="M92" s="2" t="s">
        <v>30</v>
      </c>
      <c r="N92" s="2" t="s">
        <v>37</v>
      </c>
      <c r="O92" s="2">
        <v>8</v>
      </c>
      <c r="P92" s="6">
        <f t="shared" si="8"/>
        <v>220</v>
      </c>
      <c r="Q92" s="6">
        <f t="shared" si="9"/>
        <v>11</v>
      </c>
      <c r="R92" s="6">
        <f t="shared" si="10"/>
        <v>41.800000000000004</v>
      </c>
      <c r="S92" s="6" t="str">
        <f t="shared" si="11"/>
        <v>Jan</v>
      </c>
      <c r="T92" s="6">
        <f t="shared" si="12"/>
        <v>2024</v>
      </c>
      <c r="U92" s="6" t="str">
        <f t="shared" si="13"/>
        <v>Delayed</v>
      </c>
      <c r="V92" s="6" t="str">
        <f t="shared" si="14"/>
        <v>Normal</v>
      </c>
      <c r="W92" s="6" t="str">
        <f t="shared" si="15"/>
        <v>Yes</v>
      </c>
    </row>
    <row r="93" spans="1:23" x14ac:dyDescent="0.3">
      <c r="A93" s="9" t="s">
        <v>332</v>
      </c>
      <c r="B93" s="5">
        <v>45267</v>
      </c>
      <c r="C93" s="4" t="s">
        <v>219</v>
      </c>
      <c r="D93" s="4" t="s">
        <v>220</v>
      </c>
      <c r="E93" s="4" t="s">
        <v>159</v>
      </c>
      <c r="F93" s="4" t="s">
        <v>19</v>
      </c>
      <c r="G93" s="4" t="s">
        <v>28</v>
      </c>
      <c r="H93" s="4" t="s">
        <v>306</v>
      </c>
      <c r="I93" s="4">
        <v>4</v>
      </c>
      <c r="J93" s="4">
        <v>260</v>
      </c>
      <c r="K93" s="4">
        <v>0</v>
      </c>
      <c r="L93" s="4">
        <v>1040</v>
      </c>
      <c r="M93" s="4" t="s">
        <v>30</v>
      </c>
      <c r="N93" s="4" t="s">
        <v>23</v>
      </c>
      <c r="O93" s="4">
        <v>0</v>
      </c>
      <c r="P93" s="6">
        <f t="shared" si="8"/>
        <v>1040</v>
      </c>
      <c r="Q93" s="6">
        <f t="shared" si="9"/>
        <v>0</v>
      </c>
      <c r="R93" s="6">
        <f t="shared" si="10"/>
        <v>208</v>
      </c>
      <c r="S93" s="6" t="str">
        <f t="shared" si="11"/>
        <v>Dec</v>
      </c>
      <c r="T93" s="6">
        <f t="shared" si="12"/>
        <v>2023</v>
      </c>
      <c r="U93" s="6" t="str">
        <f t="shared" si="13"/>
        <v>Fast</v>
      </c>
      <c r="V93" s="6" t="str">
        <f t="shared" si="14"/>
        <v>Normal</v>
      </c>
      <c r="W93" s="6" t="str">
        <f t="shared" si="15"/>
        <v>No</v>
      </c>
    </row>
    <row r="94" spans="1:23" x14ac:dyDescent="0.3">
      <c r="A94" s="8" t="s">
        <v>333</v>
      </c>
      <c r="B94" s="3">
        <v>45323</v>
      </c>
      <c r="C94" s="2" t="s">
        <v>325</v>
      </c>
      <c r="D94" s="2" t="s">
        <v>326</v>
      </c>
      <c r="E94" s="2" t="s">
        <v>270</v>
      </c>
      <c r="F94" s="2" t="s">
        <v>19</v>
      </c>
      <c r="G94" s="2" t="s">
        <v>149</v>
      </c>
      <c r="H94" s="2" t="s">
        <v>334</v>
      </c>
      <c r="I94" s="2">
        <v>3</v>
      </c>
      <c r="J94" s="2">
        <v>750</v>
      </c>
      <c r="K94" s="2">
        <v>0</v>
      </c>
      <c r="L94" s="2">
        <v>2250</v>
      </c>
      <c r="M94" s="2" t="s">
        <v>71</v>
      </c>
      <c r="N94" s="2" t="s">
        <v>23</v>
      </c>
      <c r="O94" s="2">
        <v>0</v>
      </c>
      <c r="P94" s="6">
        <f t="shared" si="8"/>
        <v>2250</v>
      </c>
      <c r="Q94" s="6">
        <f t="shared" si="9"/>
        <v>0</v>
      </c>
      <c r="R94" s="6">
        <f t="shared" si="10"/>
        <v>450</v>
      </c>
      <c r="S94" s="6" t="str">
        <f t="shared" si="11"/>
        <v>Feb</v>
      </c>
      <c r="T94" s="6">
        <f t="shared" si="12"/>
        <v>2024</v>
      </c>
      <c r="U94" s="6" t="str">
        <f t="shared" si="13"/>
        <v>Fast</v>
      </c>
      <c r="V94" s="6" t="str">
        <f t="shared" si="14"/>
        <v>Normal</v>
      </c>
      <c r="W94" s="6" t="str">
        <f t="shared" si="15"/>
        <v>No</v>
      </c>
    </row>
    <row r="95" spans="1:23" x14ac:dyDescent="0.3">
      <c r="A95" s="9" t="s">
        <v>335</v>
      </c>
      <c r="B95" s="5">
        <v>45288</v>
      </c>
      <c r="C95" s="4" t="s">
        <v>241</v>
      </c>
      <c r="D95" s="4" t="s">
        <v>242</v>
      </c>
      <c r="E95" s="4" t="s">
        <v>230</v>
      </c>
      <c r="F95" s="4" t="s">
        <v>19</v>
      </c>
      <c r="G95" s="4" t="s">
        <v>126</v>
      </c>
      <c r="H95" s="4" t="s">
        <v>261</v>
      </c>
      <c r="I95" s="4">
        <v>3</v>
      </c>
      <c r="J95" s="4">
        <v>9500</v>
      </c>
      <c r="K95" s="4">
        <v>10</v>
      </c>
      <c r="L95" s="4">
        <v>25650</v>
      </c>
      <c r="M95" s="4" t="s">
        <v>71</v>
      </c>
      <c r="N95" s="4" t="s">
        <v>37</v>
      </c>
      <c r="O95" s="4">
        <v>10</v>
      </c>
      <c r="P95" s="6">
        <f t="shared" si="8"/>
        <v>28500</v>
      </c>
      <c r="Q95" s="6">
        <f t="shared" si="9"/>
        <v>2850</v>
      </c>
      <c r="R95" s="6">
        <f t="shared" si="10"/>
        <v>5130</v>
      </c>
      <c r="S95" s="6" t="str">
        <f t="shared" si="11"/>
        <v>Dec</v>
      </c>
      <c r="T95" s="6">
        <f t="shared" si="12"/>
        <v>2023</v>
      </c>
      <c r="U95" s="6" t="str">
        <f t="shared" si="13"/>
        <v>Delayed</v>
      </c>
      <c r="V95" s="6" t="str">
        <f t="shared" si="14"/>
        <v>High Value</v>
      </c>
      <c r="W95" s="6" t="str">
        <f t="shared" si="15"/>
        <v>No</v>
      </c>
    </row>
    <row r="96" spans="1:23" x14ac:dyDescent="0.3">
      <c r="A96" s="8" t="s">
        <v>336</v>
      </c>
      <c r="B96" s="3">
        <v>45408</v>
      </c>
      <c r="C96" s="2" t="s">
        <v>100</v>
      </c>
      <c r="D96" s="2" t="s">
        <v>101</v>
      </c>
      <c r="E96" s="2" t="s">
        <v>27</v>
      </c>
      <c r="F96" s="2" t="s">
        <v>19</v>
      </c>
      <c r="G96" s="2" t="s">
        <v>126</v>
      </c>
      <c r="H96" s="2" t="s">
        <v>337</v>
      </c>
      <c r="I96" s="2">
        <v>3</v>
      </c>
      <c r="J96" s="2">
        <v>2200</v>
      </c>
      <c r="K96" s="2">
        <v>0</v>
      </c>
      <c r="L96" s="2">
        <v>6600</v>
      </c>
      <c r="M96" s="2" t="s">
        <v>22</v>
      </c>
      <c r="N96" s="2" t="s">
        <v>37</v>
      </c>
      <c r="O96" s="2">
        <v>8</v>
      </c>
      <c r="P96" s="6">
        <f t="shared" si="8"/>
        <v>6600</v>
      </c>
      <c r="Q96" s="6">
        <f t="shared" si="9"/>
        <v>0</v>
      </c>
      <c r="R96" s="6">
        <f t="shared" si="10"/>
        <v>1320</v>
      </c>
      <c r="S96" s="6" t="str">
        <f t="shared" si="11"/>
        <v>Apr</v>
      </c>
      <c r="T96" s="6">
        <f t="shared" si="12"/>
        <v>2024</v>
      </c>
      <c r="U96" s="6" t="str">
        <f t="shared" si="13"/>
        <v>Delayed</v>
      </c>
      <c r="V96" s="6" t="str">
        <f t="shared" si="14"/>
        <v>High Value</v>
      </c>
      <c r="W96" s="6" t="str">
        <f t="shared" si="15"/>
        <v>No</v>
      </c>
    </row>
    <row r="97" spans="1:23" x14ac:dyDescent="0.3">
      <c r="A97" s="9" t="s">
        <v>338</v>
      </c>
      <c r="B97" s="5">
        <v>44936</v>
      </c>
      <c r="C97" s="4" t="s">
        <v>241</v>
      </c>
      <c r="D97" s="4" t="s">
        <v>242</v>
      </c>
      <c r="E97" s="4" t="s">
        <v>230</v>
      </c>
      <c r="F97" s="4" t="s">
        <v>19</v>
      </c>
      <c r="G97" s="4" t="s">
        <v>28</v>
      </c>
      <c r="H97" s="4" t="s">
        <v>322</v>
      </c>
      <c r="I97" s="4">
        <v>2</v>
      </c>
      <c r="J97" s="4">
        <v>140</v>
      </c>
      <c r="K97" s="4">
        <v>10</v>
      </c>
      <c r="L97" s="4">
        <v>252</v>
      </c>
      <c r="M97" s="4" t="s">
        <v>143</v>
      </c>
      <c r="N97" s="4" t="s">
        <v>37</v>
      </c>
      <c r="O97" s="4">
        <v>8</v>
      </c>
      <c r="P97" s="6">
        <f t="shared" si="8"/>
        <v>280</v>
      </c>
      <c r="Q97" s="6">
        <f t="shared" si="9"/>
        <v>28</v>
      </c>
      <c r="R97" s="6">
        <f t="shared" si="10"/>
        <v>50.400000000000006</v>
      </c>
      <c r="S97" s="6" t="str">
        <f t="shared" si="11"/>
        <v>Jan</v>
      </c>
      <c r="T97" s="6">
        <f t="shared" si="12"/>
        <v>2023</v>
      </c>
      <c r="U97" s="6" t="str">
        <f t="shared" si="13"/>
        <v>Delayed</v>
      </c>
      <c r="V97" s="6" t="str">
        <f t="shared" si="14"/>
        <v>Normal</v>
      </c>
      <c r="W97" s="6" t="str">
        <f t="shared" si="15"/>
        <v>No</v>
      </c>
    </row>
    <row r="98" spans="1:23" x14ac:dyDescent="0.3">
      <c r="A98" s="8" t="s">
        <v>339</v>
      </c>
      <c r="B98" s="3">
        <v>45395</v>
      </c>
      <c r="C98" s="2" t="s">
        <v>340</v>
      </c>
      <c r="D98" s="2" t="s">
        <v>341</v>
      </c>
      <c r="E98" s="2" t="s">
        <v>253</v>
      </c>
      <c r="F98" s="2" t="s">
        <v>155</v>
      </c>
      <c r="G98" s="2" t="s">
        <v>149</v>
      </c>
      <c r="H98" s="2" t="s">
        <v>342</v>
      </c>
      <c r="I98" s="2">
        <v>2</v>
      </c>
      <c r="J98" s="2">
        <v>599</v>
      </c>
      <c r="K98" s="2">
        <v>5</v>
      </c>
      <c r="L98" s="2">
        <v>1138.0999999999999</v>
      </c>
      <c r="M98" s="2" t="s">
        <v>107</v>
      </c>
      <c r="N98" s="2" t="s">
        <v>37</v>
      </c>
      <c r="O98" s="2">
        <v>8</v>
      </c>
      <c r="P98" s="6">
        <f t="shared" si="8"/>
        <v>1198</v>
      </c>
      <c r="Q98" s="6">
        <f t="shared" si="9"/>
        <v>59.900000000000006</v>
      </c>
      <c r="R98" s="6">
        <f t="shared" si="10"/>
        <v>227.62</v>
      </c>
      <c r="S98" s="6" t="str">
        <f t="shared" si="11"/>
        <v>Apr</v>
      </c>
      <c r="T98" s="6">
        <f t="shared" si="12"/>
        <v>2024</v>
      </c>
      <c r="U98" s="6" t="str">
        <f t="shared" si="13"/>
        <v>Delayed</v>
      </c>
      <c r="V98" s="6" t="str">
        <f t="shared" si="14"/>
        <v>Normal</v>
      </c>
      <c r="W98" s="6" t="str">
        <f t="shared" si="15"/>
        <v>Yes</v>
      </c>
    </row>
    <row r="99" spans="1:23" x14ac:dyDescent="0.3">
      <c r="A99" s="9" t="s">
        <v>343</v>
      </c>
      <c r="B99" s="5">
        <v>45115</v>
      </c>
      <c r="C99" s="4" t="s">
        <v>161</v>
      </c>
      <c r="D99" s="4" t="s">
        <v>162</v>
      </c>
      <c r="E99" s="4" t="s">
        <v>83</v>
      </c>
      <c r="F99" s="4" t="s">
        <v>19</v>
      </c>
      <c r="G99" s="4" t="s">
        <v>20</v>
      </c>
      <c r="H99" s="4" t="s">
        <v>344</v>
      </c>
      <c r="I99" s="4">
        <v>3</v>
      </c>
      <c r="J99" s="4">
        <v>1800</v>
      </c>
      <c r="K99" s="4">
        <v>5</v>
      </c>
      <c r="L99" s="4">
        <v>5130</v>
      </c>
      <c r="M99" s="4" t="s">
        <v>30</v>
      </c>
      <c r="N99" s="4" t="s">
        <v>37</v>
      </c>
      <c r="O99" s="4">
        <v>3</v>
      </c>
      <c r="P99" s="6">
        <f t="shared" si="8"/>
        <v>5400</v>
      </c>
      <c r="Q99" s="6">
        <f t="shared" si="9"/>
        <v>270</v>
      </c>
      <c r="R99" s="6">
        <f t="shared" si="10"/>
        <v>1026</v>
      </c>
      <c r="S99" s="6" t="str">
        <f t="shared" si="11"/>
        <v>Jul</v>
      </c>
      <c r="T99" s="6">
        <f t="shared" si="12"/>
        <v>2023</v>
      </c>
      <c r="U99" s="6" t="str">
        <f t="shared" si="13"/>
        <v>Fast</v>
      </c>
      <c r="V99" s="6" t="str">
        <f t="shared" si="14"/>
        <v>High Value</v>
      </c>
      <c r="W99" s="6" t="str">
        <f t="shared" si="15"/>
        <v>Yes</v>
      </c>
    </row>
    <row r="100" spans="1:23" x14ac:dyDescent="0.3">
      <c r="A100" s="8" t="s">
        <v>345</v>
      </c>
      <c r="B100" s="3">
        <v>45298</v>
      </c>
      <c r="C100" s="2" t="s">
        <v>228</v>
      </c>
      <c r="D100" s="2" t="s">
        <v>229</v>
      </c>
      <c r="E100" s="2" t="s">
        <v>230</v>
      </c>
      <c r="F100" s="2" t="s">
        <v>19</v>
      </c>
      <c r="G100" s="2" t="s">
        <v>126</v>
      </c>
      <c r="H100" s="2" t="s">
        <v>127</v>
      </c>
      <c r="I100" s="2">
        <v>4</v>
      </c>
      <c r="J100" s="2">
        <v>850</v>
      </c>
      <c r="K100" s="2">
        <v>0</v>
      </c>
      <c r="L100" s="2">
        <v>3400</v>
      </c>
      <c r="M100" s="2" t="s">
        <v>43</v>
      </c>
      <c r="N100" s="2" t="s">
        <v>37</v>
      </c>
      <c r="O100" s="2">
        <v>2</v>
      </c>
      <c r="P100" s="6">
        <f t="shared" si="8"/>
        <v>3400</v>
      </c>
      <c r="Q100" s="6">
        <f t="shared" si="9"/>
        <v>0</v>
      </c>
      <c r="R100" s="6">
        <f t="shared" si="10"/>
        <v>680</v>
      </c>
      <c r="S100" s="6" t="str">
        <f t="shared" si="11"/>
        <v>Jan</v>
      </c>
      <c r="T100" s="6">
        <f t="shared" si="12"/>
        <v>2024</v>
      </c>
      <c r="U100" s="6" t="str">
        <f t="shared" si="13"/>
        <v>Fast</v>
      </c>
      <c r="V100" s="6" t="str">
        <f t="shared" si="14"/>
        <v>Normal</v>
      </c>
      <c r="W100" s="6" t="str">
        <f t="shared" si="15"/>
        <v>Yes</v>
      </c>
    </row>
    <row r="101" spans="1:23" x14ac:dyDescent="0.3">
      <c r="A101" s="9" t="s">
        <v>346</v>
      </c>
      <c r="B101" s="5">
        <v>45298</v>
      </c>
      <c r="C101" s="4" t="s">
        <v>272</v>
      </c>
      <c r="D101" s="4" t="s">
        <v>273</v>
      </c>
      <c r="E101" s="4" t="s">
        <v>27</v>
      </c>
      <c r="F101" s="4" t="s">
        <v>19</v>
      </c>
      <c r="G101" s="4" t="s">
        <v>28</v>
      </c>
      <c r="H101" s="4" t="s">
        <v>306</v>
      </c>
      <c r="I101" s="4">
        <v>4</v>
      </c>
      <c r="J101" s="4">
        <v>260</v>
      </c>
      <c r="K101" s="4">
        <v>0</v>
      </c>
      <c r="L101" s="4">
        <v>1040</v>
      </c>
      <c r="M101" s="4" t="s">
        <v>30</v>
      </c>
      <c r="N101" s="4" t="s">
        <v>37</v>
      </c>
      <c r="O101" s="4">
        <v>3</v>
      </c>
      <c r="P101" s="6">
        <f t="shared" si="8"/>
        <v>1040</v>
      </c>
      <c r="Q101" s="6">
        <f t="shared" si="9"/>
        <v>0</v>
      </c>
      <c r="R101" s="6">
        <f t="shared" si="10"/>
        <v>208</v>
      </c>
      <c r="S101" s="6" t="str">
        <f t="shared" si="11"/>
        <v>Jan</v>
      </c>
      <c r="T101" s="6">
        <f t="shared" si="12"/>
        <v>2024</v>
      </c>
      <c r="U101" s="6" t="str">
        <f t="shared" si="13"/>
        <v>Fast</v>
      </c>
      <c r="V101" s="6" t="str">
        <f t="shared" si="14"/>
        <v>Normal</v>
      </c>
      <c r="W101" s="6" t="str">
        <f t="shared" si="15"/>
        <v>Yes</v>
      </c>
    </row>
    <row r="102" spans="1:23" x14ac:dyDescent="0.3">
      <c r="A102" s="8" t="s">
        <v>347</v>
      </c>
      <c r="B102" s="3">
        <v>45373</v>
      </c>
      <c r="C102" s="2" t="s">
        <v>348</v>
      </c>
      <c r="D102" s="2" t="s">
        <v>349</v>
      </c>
      <c r="E102" s="2" t="s">
        <v>171</v>
      </c>
      <c r="F102" s="2" t="s">
        <v>19</v>
      </c>
      <c r="G102" s="2" t="s">
        <v>91</v>
      </c>
      <c r="H102" s="2" t="s">
        <v>124</v>
      </c>
      <c r="I102" s="2">
        <v>1</v>
      </c>
      <c r="J102" s="2">
        <v>18000</v>
      </c>
      <c r="K102" s="2">
        <v>10</v>
      </c>
      <c r="L102" s="2">
        <v>16200</v>
      </c>
      <c r="M102" s="2" t="s">
        <v>71</v>
      </c>
      <c r="N102" s="2" t="s">
        <v>31</v>
      </c>
      <c r="O102" s="2">
        <v>1</v>
      </c>
      <c r="P102" s="6">
        <f t="shared" si="8"/>
        <v>18000</v>
      </c>
      <c r="Q102" s="6">
        <f t="shared" si="9"/>
        <v>1800</v>
      </c>
      <c r="R102" s="6">
        <f t="shared" si="10"/>
        <v>3240</v>
      </c>
      <c r="S102" s="6" t="str">
        <f t="shared" si="11"/>
        <v>Mar</v>
      </c>
      <c r="T102" s="6">
        <f t="shared" si="12"/>
        <v>2024</v>
      </c>
      <c r="U102" s="6" t="str">
        <f t="shared" si="13"/>
        <v>Fast</v>
      </c>
      <c r="V102" s="6" t="str">
        <f t="shared" si="14"/>
        <v>High Value</v>
      </c>
      <c r="W102" s="6" t="str">
        <f t="shared" si="15"/>
        <v>No</v>
      </c>
    </row>
    <row r="103" spans="1:23" x14ac:dyDescent="0.3">
      <c r="A103" s="9" t="s">
        <v>350</v>
      </c>
      <c r="B103" s="5">
        <v>45055</v>
      </c>
      <c r="C103" s="4" t="s">
        <v>241</v>
      </c>
      <c r="D103" s="4" t="s">
        <v>242</v>
      </c>
      <c r="E103" s="4" t="s">
        <v>230</v>
      </c>
      <c r="F103" s="4" t="s">
        <v>19</v>
      </c>
      <c r="G103" s="4" t="s">
        <v>69</v>
      </c>
      <c r="H103" s="4" t="s">
        <v>70</v>
      </c>
      <c r="I103" s="4">
        <v>2</v>
      </c>
      <c r="J103" s="4">
        <v>850</v>
      </c>
      <c r="K103" s="4">
        <v>10</v>
      </c>
      <c r="L103" s="4">
        <v>1530</v>
      </c>
      <c r="M103" s="4" t="s">
        <v>43</v>
      </c>
      <c r="N103" s="4" t="s">
        <v>23</v>
      </c>
      <c r="O103" s="4">
        <v>0</v>
      </c>
      <c r="P103" s="6">
        <f t="shared" si="8"/>
        <v>1700</v>
      </c>
      <c r="Q103" s="6">
        <f t="shared" si="9"/>
        <v>170</v>
      </c>
      <c r="R103" s="6">
        <f t="shared" si="10"/>
        <v>306</v>
      </c>
      <c r="S103" s="6" t="str">
        <f t="shared" si="11"/>
        <v>May</v>
      </c>
      <c r="T103" s="6">
        <f t="shared" si="12"/>
        <v>2023</v>
      </c>
      <c r="U103" s="6" t="str">
        <f t="shared" si="13"/>
        <v>Fast</v>
      </c>
      <c r="V103" s="6" t="str">
        <f t="shared" si="14"/>
        <v>Normal</v>
      </c>
      <c r="W103" s="6" t="str">
        <f t="shared" si="15"/>
        <v>No</v>
      </c>
    </row>
    <row r="104" spans="1:23" x14ac:dyDescent="0.3">
      <c r="A104" s="8" t="s">
        <v>351</v>
      </c>
      <c r="B104" s="3">
        <v>45243</v>
      </c>
      <c r="C104" s="2" t="s">
        <v>310</v>
      </c>
      <c r="D104" s="2" t="s">
        <v>311</v>
      </c>
      <c r="E104" s="2" t="s">
        <v>253</v>
      </c>
      <c r="F104" s="2" t="s">
        <v>155</v>
      </c>
      <c r="G104" s="2" t="s">
        <v>91</v>
      </c>
      <c r="H104" s="2" t="s">
        <v>320</v>
      </c>
      <c r="I104" s="2">
        <v>3</v>
      </c>
      <c r="J104" s="2">
        <v>28000</v>
      </c>
      <c r="K104" s="2">
        <v>0</v>
      </c>
      <c r="L104" s="2">
        <v>84000</v>
      </c>
      <c r="M104" s="2" t="s">
        <v>43</v>
      </c>
      <c r="N104" s="2" t="s">
        <v>31</v>
      </c>
      <c r="O104" s="2">
        <v>3</v>
      </c>
      <c r="P104" s="6">
        <f t="shared" si="8"/>
        <v>84000</v>
      </c>
      <c r="Q104" s="6">
        <f t="shared" si="9"/>
        <v>0</v>
      </c>
      <c r="R104" s="6">
        <f t="shared" si="10"/>
        <v>16800</v>
      </c>
      <c r="S104" s="6" t="str">
        <f t="shared" si="11"/>
        <v>Nov</v>
      </c>
      <c r="T104" s="6">
        <f t="shared" si="12"/>
        <v>2023</v>
      </c>
      <c r="U104" s="6" t="str">
        <f t="shared" si="13"/>
        <v>Fast</v>
      </c>
      <c r="V104" s="6" t="str">
        <f t="shared" si="14"/>
        <v>High Value</v>
      </c>
      <c r="W104" s="6" t="str">
        <f t="shared" si="15"/>
        <v>No</v>
      </c>
    </row>
    <row r="105" spans="1:23" x14ac:dyDescent="0.3">
      <c r="A105" s="9" t="s">
        <v>352</v>
      </c>
      <c r="B105" s="5">
        <v>45003</v>
      </c>
      <c r="C105" s="4" t="s">
        <v>204</v>
      </c>
      <c r="D105" s="4" t="s">
        <v>205</v>
      </c>
      <c r="E105" s="4" t="s">
        <v>35</v>
      </c>
      <c r="F105" s="4" t="s">
        <v>19</v>
      </c>
      <c r="G105" s="4" t="s">
        <v>91</v>
      </c>
      <c r="H105" s="4" t="s">
        <v>320</v>
      </c>
      <c r="I105" s="4">
        <v>1</v>
      </c>
      <c r="J105" s="4">
        <v>28000</v>
      </c>
      <c r="K105" s="4">
        <v>0</v>
      </c>
      <c r="L105" s="4">
        <v>28000</v>
      </c>
      <c r="M105" s="4" t="s">
        <v>43</v>
      </c>
      <c r="N105" s="4" t="s">
        <v>37</v>
      </c>
      <c r="O105" s="4">
        <v>3</v>
      </c>
      <c r="P105" s="6">
        <f t="shared" si="8"/>
        <v>28000</v>
      </c>
      <c r="Q105" s="6">
        <f t="shared" si="9"/>
        <v>0</v>
      </c>
      <c r="R105" s="6">
        <f t="shared" si="10"/>
        <v>5600</v>
      </c>
      <c r="S105" s="6" t="str">
        <f t="shared" si="11"/>
        <v>Mar</v>
      </c>
      <c r="T105" s="6">
        <f t="shared" si="12"/>
        <v>2023</v>
      </c>
      <c r="U105" s="6" t="str">
        <f t="shared" si="13"/>
        <v>Fast</v>
      </c>
      <c r="V105" s="6" t="str">
        <f t="shared" si="14"/>
        <v>High Value</v>
      </c>
      <c r="W105" s="6" t="str">
        <f t="shared" si="15"/>
        <v>Yes</v>
      </c>
    </row>
    <row r="106" spans="1:23" x14ac:dyDescent="0.3">
      <c r="A106" s="8" t="s">
        <v>353</v>
      </c>
      <c r="B106" s="3">
        <v>45453</v>
      </c>
      <c r="C106" s="2" t="s">
        <v>152</v>
      </c>
      <c r="D106" s="2" t="s">
        <v>153</v>
      </c>
      <c r="E106" s="2" t="s">
        <v>154</v>
      </c>
      <c r="F106" s="2" t="s">
        <v>155</v>
      </c>
      <c r="G106" s="2" t="s">
        <v>47</v>
      </c>
      <c r="H106" s="2" t="s">
        <v>48</v>
      </c>
      <c r="I106" s="2">
        <v>4</v>
      </c>
      <c r="J106" s="2">
        <v>320</v>
      </c>
      <c r="K106" s="2">
        <v>5</v>
      </c>
      <c r="L106" s="2">
        <v>1216</v>
      </c>
      <c r="M106" s="2" t="s">
        <v>22</v>
      </c>
      <c r="N106" s="2" t="s">
        <v>31</v>
      </c>
      <c r="O106" s="2">
        <v>1</v>
      </c>
      <c r="P106" s="6">
        <f t="shared" si="8"/>
        <v>1280</v>
      </c>
      <c r="Q106" s="6">
        <f t="shared" si="9"/>
        <v>64</v>
      </c>
      <c r="R106" s="6">
        <f t="shared" si="10"/>
        <v>243.20000000000002</v>
      </c>
      <c r="S106" s="6" t="str">
        <f t="shared" si="11"/>
        <v>Jun</v>
      </c>
      <c r="T106" s="6">
        <f t="shared" si="12"/>
        <v>2024</v>
      </c>
      <c r="U106" s="6" t="str">
        <f t="shared" si="13"/>
        <v>Fast</v>
      </c>
      <c r="V106" s="6" t="str">
        <f t="shared" si="14"/>
        <v>Normal</v>
      </c>
      <c r="W106" s="6" t="str">
        <f t="shared" si="15"/>
        <v>No</v>
      </c>
    </row>
    <row r="107" spans="1:23" x14ac:dyDescent="0.3">
      <c r="A107" s="9" t="s">
        <v>354</v>
      </c>
      <c r="B107" s="5">
        <v>45082</v>
      </c>
      <c r="C107" s="4" t="s">
        <v>244</v>
      </c>
      <c r="D107" s="4" t="s">
        <v>245</v>
      </c>
      <c r="E107" s="4" t="s">
        <v>137</v>
      </c>
      <c r="F107" s="4" t="s">
        <v>19</v>
      </c>
      <c r="G107" s="4" t="s">
        <v>20</v>
      </c>
      <c r="H107" s="4" t="s">
        <v>355</v>
      </c>
      <c r="I107" s="4">
        <v>1</v>
      </c>
      <c r="J107" s="4">
        <v>800</v>
      </c>
      <c r="K107" s="4">
        <v>5</v>
      </c>
      <c r="L107" s="4">
        <v>760</v>
      </c>
      <c r="M107" s="4" t="s">
        <v>43</v>
      </c>
      <c r="N107" s="4" t="s">
        <v>23</v>
      </c>
      <c r="O107" s="4">
        <v>0</v>
      </c>
      <c r="P107" s="6">
        <f t="shared" si="8"/>
        <v>800</v>
      </c>
      <c r="Q107" s="6">
        <f t="shared" si="9"/>
        <v>40</v>
      </c>
      <c r="R107" s="6">
        <f t="shared" si="10"/>
        <v>152</v>
      </c>
      <c r="S107" s="6" t="str">
        <f t="shared" si="11"/>
        <v>Jun</v>
      </c>
      <c r="T107" s="6">
        <f t="shared" si="12"/>
        <v>2023</v>
      </c>
      <c r="U107" s="6" t="str">
        <f t="shared" si="13"/>
        <v>Fast</v>
      </c>
      <c r="V107" s="6" t="str">
        <f t="shared" si="14"/>
        <v>Normal</v>
      </c>
      <c r="W107" s="6" t="str">
        <f t="shared" si="15"/>
        <v>No</v>
      </c>
    </row>
    <row r="108" spans="1:23" x14ac:dyDescent="0.3">
      <c r="A108" s="8" t="s">
        <v>356</v>
      </c>
      <c r="B108" s="3">
        <v>45184</v>
      </c>
      <c r="C108" s="2" t="s">
        <v>196</v>
      </c>
      <c r="D108" s="2" t="s">
        <v>197</v>
      </c>
      <c r="E108" s="2" t="s">
        <v>176</v>
      </c>
      <c r="F108" s="2" t="s">
        <v>177</v>
      </c>
      <c r="G108" s="2" t="s">
        <v>69</v>
      </c>
      <c r="H108" s="2" t="s">
        <v>254</v>
      </c>
      <c r="I108" s="2">
        <v>1</v>
      </c>
      <c r="J108" s="2">
        <v>499</v>
      </c>
      <c r="K108" s="2">
        <v>10</v>
      </c>
      <c r="L108" s="2">
        <v>449.1</v>
      </c>
      <c r="M108" s="2" t="s">
        <v>30</v>
      </c>
      <c r="N108" s="2" t="s">
        <v>37</v>
      </c>
      <c r="O108" s="2">
        <v>2</v>
      </c>
      <c r="P108" s="6">
        <f t="shared" si="8"/>
        <v>499</v>
      </c>
      <c r="Q108" s="6">
        <f t="shared" si="9"/>
        <v>49.900000000000006</v>
      </c>
      <c r="R108" s="6">
        <f t="shared" si="10"/>
        <v>89.820000000000007</v>
      </c>
      <c r="S108" s="6" t="str">
        <f t="shared" si="11"/>
        <v>Sep</v>
      </c>
      <c r="T108" s="6">
        <f t="shared" si="12"/>
        <v>2023</v>
      </c>
      <c r="U108" s="6" t="str">
        <f t="shared" si="13"/>
        <v>Fast</v>
      </c>
      <c r="V108" s="6" t="str">
        <f t="shared" si="14"/>
        <v>Normal</v>
      </c>
      <c r="W108" s="6" t="str">
        <f t="shared" si="15"/>
        <v>No</v>
      </c>
    </row>
    <row r="109" spans="1:23" x14ac:dyDescent="0.3">
      <c r="A109" s="9" t="s">
        <v>357</v>
      </c>
      <c r="B109" s="5">
        <v>45226</v>
      </c>
      <c r="C109" s="4" t="s">
        <v>191</v>
      </c>
      <c r="D109" s="4" t="s">
        <v>192</v>
      </c>
      <c r="E109" s="4" t="s">
        <v>106</v>
      </c>
      <c r="F109" s="4" t="s">
        <v>19</v>
      </c>
      <c r="G109" s="4" t="s">
        <v>69</v>
      </c>
      <c r="H109" s="4" t="s">
        <v>274</v>
      </c>
      <c r="I109" s="4">
        <v>1</v>
      </c>
      <c r="J109" s="4">
        <v>1100</v>
      </c>
      <c r="K109" s="4">
        <v>20</v>
      </c>
      <c r="L109" s="4">
        <v>880</v>
      </c>
      <c r="M109" s="4" t="s">
        <v>143</v>
      </c>
      <c r="N109" s="4" t="s">
        <v>37</v>
      </c>
      <c r="O109" s="4">
        <v>3</v>
      </c>
      <c r="P109" s="6">
        <f t="shared" si="8"/>
        <v>1100</v>
      </c>
      <c r="Q109" s="6">
        <f t="shared" si="9"/>
        <v>220</v>
      </c>
      <c r="R109" s="6">
        <f t="shared" si="10"/>
        <v>176</v>
      </c>
      <c r="S109" s="6" t="str">
        <f t="shared" si="11"/>
        <v>Oct</v>
      </c>
      <c r="T109" s="6">
        <f t="shared" si="12"/>
        <v>2023</v>
      </c>
      <c r="U109" s="6" t="str">
        <f t="shared" si="13"/>
        <v>Fast</v>
      </c>
      <c r="V109" s="6" t="str">
        <f t="shared" si="14"/>
        <v>Normal</v>
      </c>
      <c r="W109" s="6" t="str">
        <f t="shared" si="15"/>
        <v>No</v>
      </c>
    </row>
    <row r="110" spans="1:23" x14ac:dyDescent="0.3">
      <c r="A110" s="8" t="s">
        <v>358</v>
      </c>
      <c r="B110" s="3">
        <v>45472</v>
      </c>
      <c r="C110" s="2" t="s">
        <v>191</v>
      </c>
      <c r="D110" s="2" t="s">
        <v>192</v>
      </c>
      <c r="E110" s="2" t="s">
        <v>106</v>
      </c>
      <c r="F110" s="2" t="s">
        <v>19</v>
      </c>
      <c r="G110" s="2" t="s">
        <v>91</v>
      </c>
      <c r="H110" s="2" t="s">
        <v>359</v>
      </c>
      <c r="I110" s="2">
        <v>1</v>
      </c>
      <c r="J110" s="2">
        <v>8000</v>
      </c>
      <c r="K110" s="2">
        <v>15</v>
      </c>
      <c r="L110" s="2">
        <v>6800</v>
      </c>
      <c r="M110" s="2" t="s">
        <v>30</v>
      </c>
      <c r="N110" s="2" t="s">
        <v>23</v>
      </c>
      <c r="O110" s="2">
        <v>0</v>
      </c>
      <c r="P110" s="6">
        <f t="shared" si="8"/>
        <v>8000</v>
      </c>
      <c r="Q110" s="6">
        <f t="shared" si="9"/>
        <v>1200</v>
      </c>
      <c r="R110" s="6">
        <f t="shared" si="10"/>
        <v>1360</v>
      </c>
      <c r="S110" s="6" t="str">
        <f t="shared" si="11"/>
        <v>Jun</v>
      </c>
      <c r="T110" s="6">
        <f t="shared" si="12"/>
        <v>2024</v>
      </c>
      <c r="U110" s="6" t="str">
        <f t="shared" si="13"/>
        <v>Fast</v>
      </c>
      <c r="V110" s="6" t="str">
        <f t="shared" si="14"/>
        <v>High Value</v>
      </c>
      <c r="W110" s="6" t="str">
        <f t="shared" si="15"/>
        <v>Yes</v>
      </c>
    </row>
    <row r="111" spans="1:23" x14ac:dyDescent="0.3">
      <c r="A111" s="9" t="s">
        <v>360</v>
      </c>
      <c r="B111" s="5">
        <v>45283</v>
      </c>
      <c r="C111" s="4" t="s">
        <v>268</v>
      </c>
      <c r="D111" s="4" t="s">
        <v>269</v>
      </c>
      <c r="E111" s="4" t="s">
        <v>270</v>
      </c>
      <c r="F111" s="4" t="s">
        <v>19</v>
      </c>
      <c r="G111" s="4" t="s">
        <v>149</v>
      </c>
      <c r="H111" s="4" t="s">
        <v>182</v>
      </c>
      <c r="I111" s="4">
        <v>1</v>
      </c>
      <c r="J111" s="4">
        <v>180</v>
      </c>
      <c r="K111" s="4">
        <v>20</v>
      </c>
      <c r="L111" s="4">
        <v>144</v>
      </c>
      <c r="M111" s="4" t="s">
        <v>43</v>
      </c>
      <c r="N111" s="4" t="s">
        <v>37</v>
      </c>
      <c r="O111" s="4">
        <v>9</v>
      </c>
      <c r="P111" s="6">
        <f t="shared" si="8"/>
        <v>180</v>
      </c>
      <c r="Q111" s="6">
        <f t="shared" si="9"/>
        <v>36</v>
      </c>
      <c r="R111" s="6">
        <f t="shared" si="10"/>
        <v>28.8</v>
      </c>
      <c r="S111" s="6" t="str">
        <f t="shared" si="11"/>
        <v>Dec</v>
      </c>
      <c r="T111" s="6">
        <f t="shared" si="12"/>
        <v>2023</v>
      </c>
      <c r="U111" s="6" t="str">
        <f t="shared" si="13"/>
        <v>Delayed</v>
      </c>
      <c r="V111" s="6" t="str">
        <f t="shared" si="14"/>
        <v>Normal</v>
      </c>
      <c r="W111" s="6" t="str">
        <f t="shared" si="15"/>
        <v>Yes</v>
      </c>
    </row>
    <row r="112" spans="1:23" x14ac:dyDescent="0.3">
      <c r="A112" s="8" t="s">
        <v>361</v>
      </c>
      <c r="B112" s="3">
        <v>45056</v>
      </c>
      <c r="C112" s="2" t="s">
        <v>135</v>
      </c>
      <c r="D112" s="2" t="s">
        <v>136</v>
      </c>
      <c r="E112" s="2" t="s">
        <v>137</v>
      </c>
      <c r="F112" s="2" t="s">
        <v>19</v>
      </c>
      <c r="G112" s="2" t="s">
        <v>149</v>
      </c>
      <c r="H112" s="2" t="s">
        <v>182</v>
      </c>
      <c r="I112" s="2">
        <v>4</v>
      </c>
      <c r="J112" s="2">
        <v>180</v>
      </c>
      <c r="K112" s="2">
        <v>15</v>
      </c>
      <c r="L112" s="2">
        <v>612</v>
      </c>
      <c r="M112" s="2" t="s">
        <v>22</v>
      </c>
      <c r="N112" s="2" t="s">
        <v>64</v>
      </c>
      <c r="O112" s="2">
        <v>2</v>
      </c>
      <c r="P112" s="6">
        <f t="shared" si="8"/>
        <v>720</v>
      </c>
      <c r="Q112" s="6">
        <f t="shared" si="9"/>
        <v>108</v>
      </c>
      <c r="R112" s="6">
        <f t="shared" si="10"/>
        <v>122.4</v>
      </c>
      <c r="S112" s="6" t="str">
        <f t="shared" si="11"/>
        <v>May</v>
      </c>
      <c r="T112" s="6">
        <f t="shared" si="12"/>
        <v>2023</v>
      </c>
      <c r="U112" s="6" t="str">
        <f t="shared" si="13"/>
        <v>Fast</v>
      </c>
      <c r="V112" s="6" t="str">
        <f t="shared" si="14"/>
        <v>Normal</v>
      </c>
      <c r="W112" s="6" t="str">
        <f t="shared" si="15"/>
        <v>No</v>
      </c>
    </row>
    <row r="113" spans="1:23" x14ac:dyDescent="0.3">
      <c r="A113" s="9" t="s">
        <v>362</v>
      </c>
      <c r="B113" s="5">
        <v>45045</v>
      </c>
      <c r="C113" s="4" t="s">
        <v>363</v>
      </c>
      <c r="D113" s="4" t="s">
        <v>364</v>
      </c>
      <c r="E113" s="4" t="s">
        <v>265</v>
      </c>
      <c r="F113" s="4" t="s">
        <v>266</v>
      </c>
      <c r="G113" s="4" t="s">
        <v>28</v>
      </c>
      <c r="H113" s="4" t="s">
        <v>167</v>
      </c>
      <c r="I113" s="4">
        <v>1</v>
      </c>
      <c r="J113" s="4">
        <v>280</v>
      </c>
      <c r="K113" s="4">
        <v>5</v>
      </c>
      <c r="L113" s="4">
        <v>266</v>
      </c>
      <c r="M113" s="4" t="s">
        <v>22</v>
      </c>
      <c r="N113" s="4" t="s">
        <v>37</v>
      </c>
      <c r="O113" s="4">
        <v>7</v>
      </c>
      <c r="P113" s="6">
        <f t="shared" si="8"/>
        <v>280</v>
      </c>
      <c r="Q113" s="6">
        <f t="shared" si="9"/>
        <v>14</v>
      </c>
      <c r="R113" s="6">
        <f t="shared" si="10"/>
        <v>53.2</v>
      </c>
      <c r="S113" s="6" t="str">
        <f t="shared" si="11"/>
        <v>Apr</v>
      </c>
      <c r="T113" s="6">
        <f t="shared" si="12"/>
        <v>2023</v>
      </c>
      <c r="U113" s="6" t="str">
        <f t="shared" si="13"/>
        <v>Delayed</v>
      </c>
      <c r="V113" s="6" t="str">
        <f t="shared" si="14"/>
        <v>Normal</v>
      </c>
      <c r="W113" s="6" t="str">
        <f t="shared" si="15"/>
        <v>Yes</v>
      </c>
    </row>
    <row r="114" spans="1:23" x14ac:dyDescent="0.3">
      <c r="A114" s="8" t="s">
        <v>365</v>
      </c>
      <c r="B114" s="3">
        <v>45307</v>
      </c>
      <c r="C114" s="2" t="s">
        <v>204</v>
      </c>
      <c r="D114" s="2" t="s">
        <v>205</v>
      </c>
      <c r="E114" s="2" t="s">
        <v>35</v>
      </c>
      <c r="F114" s="2" t="s">
        <v>19</v>
      </c>
      <c r="G114" s="2" t="s">
        <v>149</v>
      </c>
      <c r="H114" s="2" t="s">
        <v>342</v>
      </c>
      <c r="I114" s="2">
        <v>1</v>
      </c>
      <c r="J114" s="2">
        <v>599</v>
      </c>
      <c r="K114" s="2">
        <v>0</v>
      </c>
      <c r="L114" s="2">
        <v>599</v>
      </c>
      <c r="M114" s="2" t="s">
        <v>30</v>
      </c>
      <c r="N114" s="2" t="s">
        <v>37</v>
      </c>
      <c r="O114" s="2">
        <v>6</v>
      </c>
      <c r="P114" s="6">
        <f t="shared" si="8"/>
        <v>599</v>
      </c>
      <c r="Q114" s="6">
        <f t="shared" si="9"/>
        <v>0</v>
      </c>
      <c r="R114" s="6">
        <f t="shared" si="10"/>
        <v>119.80000000000001</v>
      </c>
      <c r="S114" s="6" t="str">
        <f t="shared" si="11"/>
        <v>Jan</v>
      </c>
      <c r="T114" s="6">
        <f t="shared" si="12"/>
        <v>2024</v>
      </c>
      <c r="U114" s="6" t="str">
        <f t="shared" si="13"/>
        <v>Delayed</v>
      </c>
      <c r="V114" s="6" t="str">
        <f t="shared" si="14"/>
        <v>Normal</v>
      </c>
      <c r="W114" s="6" t="str">
        <f t="shared" si="15"/>
        <v>No</v>
      </c>
    </row>
    <row r="115" spans="1:23" x14ac:dyDescent="0.3">
      <c r="A115" s="9" t="s">
        <v>366</v>
      </c>
      <c r="B115" s="5">
        <v>45079</v>
      </c>
      <c r="C115" s="4" t="s">
        <v>211</v>
      </c>
      <c r="D115" s="4" t="s">
        <v>212</v>
      </c>
      <c r="E115" s="4" t="s">
        <v>83</v>
      </c>
      <c r="F115" s="4" t="s">
        <v>19</v>
      </c>
      <c r="G115" s="4" t="s">
        <v>126</v>
      </c>
      <c r="H115" s="4" t="s">
        <v>367</v>
      </c>
      <c r="I115" s="4">
        <v>3</v>
      </c>
      <c r="J115" s="4">
        <v>280</v>
      </c>
      <c r="K115" s="4">
        <v>5</v>
      </c>
      <c r="L115" s="4">
        <v>798</v>
      </c>
      <c r="M115" s="4" t="s">
        <v>22</v>
      </c>
      <c r="N115" s="4" t="s">
        <v>23</v>
      </c>
      <c r="O115" s="4">
        <v>0</v>
      </c>
      <c r="P115" s="6">
        <f t="shared" si="8"/>
        <v>840</v>
      </c>
      <c r="Q115" s="6">
        <f t="shared" si="9"/>
        <v>42</v>
      </c>
      <c r="R115" s="6">
        <f t="shared" si="10"/>
        <v>159.60000000000002</v>
      </c>
      <c r="S115" s="6" t="str">
        <f t="shared" si="11"/>
        <v>Jun</v>
      </c>
      <c r="T115" s="6">
        <f t="shared" si="12"/>
        <v>2023</v>
      </c>
      <c r="U115" s="6" t="str">
        <f t="shared" si="13"/>
        <v>Fast</v>
      </c>
      <c r="V115" s="6" t="str">
        <f t="shared" si="14"/>
        <v>Normal</v>
      </c>
      <c r="W115" s="6" t="str">
        <f t="shared" si="15"/>
        <v>No</v>
      </c>
    </row>
    <row r="116" spans="1:23" x14ac:dyDescent="0.3">
      <c r="A116" s="8" t="s">
        <v>368</v>
      </c>
      <c r="B116" s="3">
        <v>44953</v>
      </c>
      <c r="C116" s="2" t="s">
        <v>279</v>
      </c>
      <c r="D116" s="2" t="s">
        <v>280</v>
      </c>
      <c r="E116" s="2" t="s">
        <v>35</v>
      </c>
      <c r="F116" s="2" t="s">
        <v>19</v>
      </c>
      <c r="G116" s="2" t="s">
        <v>149</v>
      </c>
      <c r="H116" s="2" t="s">
        <v>150</v>
      </c>
      <c r="I116" s="2">
        <v>1</v>
      </c>
      <c r="J116" s="2">
        <v>520</v>
      </c>
      <c r="K116" s="2">
        <v>5</v>
      </c>
      <c r="L116" s="2">
        <v>494</v>
      </c>
      <c r="M116" s="2" t="s">
        <v>30</v>
      </c>
      <c r="N116" s="2" t="s">
        <v>37</v>
      </c>
      <c r="O116" s="2">
        <v>9</v>
      </c>
      <c r="P116" s="6">
        <f t="shared" si="8"/>
        <v>520</v>
      </c>
      <c r="Q116" s="6">
        <f t="shared" si="9"/>
        <v>26</v>
      </c>
      <c r="R116" s="6">
        <f t="shared" si="10"/>
        <v>98.800000000000011</v>
      </c>
      <c r="S116" s="6" t="str">
        <f t="shared" si="11"/>
        <v>Jan</v>
      </c>
      <c r="T116" s="6">
        <f t="shared" si="12"/>
        <v>2023</v>
      </c>
      <c r="U116" s="6" t="str">
        <f t="shared" si="13"/>
        <v>Delayed</v>
      </c>
      <c r="V116" s="6" t="str">
        <f t="shared" si="14"/>
        <v>Normal</v>
      </c>
      <c r="W116" s="6" t="str">
        <f t="shared" si="15"/>
        <v>No</v>
      </c>
    </row>
    <row r="117" spans="1:23" x14ac:dyDescent="0.3">
      <c r="A117" s="9" t="s">
        <v>369</v>
      </c>
      <c r="B117" s="5">
        <v>45162</v>
      </c>
      <c r="C117" s="4" t="s">
        <v>100</v>
      </c>
      <c r="D117" s="4" t="s">
        <v>101</v>
      </c>
      <c r="E117" s="4" t="s">
        <v>27</v>
      </c>
      <c r="F117" s="4" t="s">
        <v>19</v>
      </c>
      <c r="G117" s="4" t="s">
        <v>149</v>
      </c>
      <c r="H117" s="4" t="s">
        <v>150</v>
      </c>
      <c r="I117" s="4">
        <v>3</v>
      </c>
      <c r="J117" s="4">
        <v>520</v>
      </c>
      <c r="K117" s="4">
        <v>0</v>
      </c>
      <c r="L117" s="4">
        <v>1560</v>
      </c>
      <c r="M117" s="4" t="s">
        <v>22</v>
      </c>
      <c r="N117" s="4" t="s">
        <v>31</v>
      </c>
      <c r="O117" s="4">
        <v>3</v>
      </c>
      <c r="P117" s="6">
        <f t="shared" si="8"/>
        <v>1560</v>
      </c>
      <c r="Q117" s="6">
        <f t="shared" si="9"/>
        <v>0</v>
      </c>
      <c r="R117" s="6">
        <f t="shared" si="10"/>
        <v>312</v>
      </c>
      <c r="S117" s="6" t="str">
        <f t="shared" si="11"/>
        <v>Aug</v>
      </c>
      <c r="T117" s="6">
        <f t="shared" si="12"/>
        <v>2023</v>
      </c>
      <c r="U117" s="6" t="str">
        <f t="shared" si="13"/>
        <v>Fast</v>
      </c>
      <c r="V117" s="6" t="str">
        <f t="shared" si="14"/>
        <v>Normal</v>
      </c>
      <c r="W117" s="6" t="str">
        <f t="shared" si="15"/>
        <v>No</v>
      </c>
    </row>
    <row r="118" spans="1:23" x14ac:dyDescent="0.3">
      <c r="A118" s="8" t="s">
        <v>370</v>
      </c>
      <c r="B118" s="3">
        <v>45271</v>
      </c>
      <c r="C118" s="2" t="s">
        <v>66</v>
      </c>
      <c r="D118" s="2" t="s">
        <v>67</v>
      </c>
      <c r="E118" s="2" t="s">
        <v>68</v>
      </c>
      <c r="F118" s="2" t="s">
        <v>19</v>
      </c>
      <c r="G118" s="2" t="s">
        <v>126</v>
      </c>
      <c r="H118" s="2" t="s">
        <v>261</v>
      </c>
      <c r="I118" s="2">
        <v>4</v>
      </c>
      <c r="J118" s="2">
        <v>9500</v>
      </c>
      <c r="K118" s="2">
        <v>10</v>
      </c>
      <c r="L118" s="2">
        <v>34200</v>
      </c>
      <c r="M118" s="2" t="s">
        <v>22</v>
      </c>
      <c r="N118" s="2" t="s">
        <v>37</v>
      </c>
      <c r="O118" s="2">
        <v>9</v>
      </c>
      <c r="P118" s="6">
        <f t="shared" si="8"/>
        <v>38000</v>
      </c>
      <c r="Q118" s="6">
        <f t="shared" si="9"/>
        <v>3800</v>
      </c>
      <c r="R118" s="6">
        <f t="shared" si="10"/>
        <v>6840</v>
      </c>
      <c r="S118" s="6" t="str">
        <f t="shared" si="11"/>
        <v>Dec</v>
      </c>
      <c r="T118" s="6">
        <f t="shared" si="12"/>
        <v>2023</v>
      </c>
      <c r="U118" s="6" t="str">
        <f t="shared" si="13"/>
        <v>Delayed</v>
      </c>
      <c r="V118" s="6" t="str">
        <f t="shared" si="14"/>
        <v>High Value</v>
      </c>
      <c r="W118" s="6" t="str">
        <f t="shared" si="15"/>
        <v>No</v>
      </c>
    </row>
    <row r="119" spans="1:23" x14ac:dyDescent="0.3">
      <c r="A119" s="9" t="s">
        <v>371</v>
      </c>
      <c r="B119" s="5">
        <v>45304</v>
      </c>
      <c r="C119" s="4" t="s">
        <v>279</v>
      </c>
      <c r="D119" s="4" t="s">
        <v>280</v>
      </c>
      <c r="E119" s="4" t="s">
        <v>35</v>
      </c>
      <c r="F119" s="4" t="s">
        <v>19</v>
      </c>
      <c r="G119" s="4" t="s">
        <v>20</v>
      </c>
      <c r="H119" s="4" t="s">
        <v>21</v>
      </c>
      <c r="I119" s="4">
        <v>1</v>
      </c>
      <c r="J119" s="4">
        <v>550</v>
      </c>
      <c r="K119" s="4">
        <v>0</v>
      </c>
      <c r="L119" s="4">
        <v>550</v>
      </c>
      <c r="M119" s="4" t="s">
        <v>43</v>
      </c>
      <c r="N119" s="4" t="s">
        <v>64</v>
      </c>
      <c r="O119" s="4">
        <v>1</v>
      </c>
      <c r="P119" s="6">
        <f t="shared" si="8"/>
        <v>550</v>
      </c>
      <c r="Q119" s="6">
        <f t="shared" si="9"/>
        <v>0</v>
      </c>
      <c r="R119" s="6">
        <f t="shared" si="10"/>
        <v>110</v>
      </c>
      <c r="S119" s="6" t="str">
        <f t="shared" si="11"/>
        <v>Jan</v>
      </c>
      <c r="T119" s="6">
        <f t="shared" si="12"/>
        <v>2024</v>
      </c>
      <c r="U119" s="6" t="str">
        <f t="shared" si="13"/>
        <v>Fast</v>
      </c>
      <c r="V119" s="6" t="str">
        <f t="shared" si="14"/>
        <v>Normal</v>
      </c>
      <c r="W119" s="6" t="str">
        <f t="shared" si="15"/>
        <v>Yes</v>
      </c>
    </row>
    <row r="120" spans="1:23" x14ac:dyDescent="0.3">
      <c r="A120" s="8" t="s">
        <v>372</v>
      </c>
      <c r="B120" s="3">
        <v>45190</v>
      </c>
      <c r="C120" s="2" t="s">
        <v>373</v>
      </c>
      <c r="D120" s="2" t="s">
        <v>374</v>
      </c>
      <c r="E120" s="2" t="s">
        <v>171</v>
      </c>
      <c r="F120" s="2" t="s">
        <v>19</v>
      </c>
      <c r="G120" s="2" t="s">
        <v>54</v>
      </c>
      <c r="H120" s="2" t="s">
        <v>59</v>
      </c>
      <c r="I120" s="2">
        <v>1</v>
      </c>
      <c r="J120" s="2">
        <v>160</v>
      </c>
      <c r="K120" s="2">
        <v>10</v>
      </c>
      <c r="L120" s="2">
        <v>144</v>
      </c>
      <c r="M120" s="2" t="s">
        <v>22</v>
      </c>
      <c r="N120" s="2" t="s">
        <v>37</v>
      </c>
      <c r="O120" s="2">
        <v>10</v>
      </c>
      <c r="P120" s="6">
        <f t="shared" si="8"/>
        <v>160</v>
      </c>
      <c r="Q120" s="6">
        <f t="shared" si="9"/>
        <v>16</v>
      </c>
      <c r="R120" s="6">
        <f t="shared" si="10"/>
        <v>28.8</v>
      </c>
      <c r="S120" s="6" t="str">
        <f t="shared" si="11"/>
        <v>Sep</v>
      </c>
      <c r="T120" s="6">
        <f t="shared" si="12"/>
        <v>2023</v>
      </c>
      <c r="U120" s="6" t="str">
        <f t="shared" si="13"/>
        <v>Delayed</v>
      </c>
      <c r="V120" s="6" t="str">
        <f t="shared" si="14"/>
        <v>Normal</v>
      </c>
      <c r="W120" s="6" t="str">
        <f t="shared" si="15"/>
        <v>No</v>
      </c>
    </row>
    <row r="121" spans="1:23" x14ac:dyDescent="0.3">
      <c r="A121" s="9" t="s">
        <v>375</v>
      </c>
      <c r="B121" s="5">
        <v>45125</v>
      </c>
      <c r="C121" s="4" t="s">
        <v>376</v>
      </c>
      <c r="D121" s="4" t="s">
        <v>377</v>
      </c>
      <c r="E121" s="4" t="s">
        <v>270</v>
      </c>
      <c r="F121" s="4" t="s">
        <v>19</v>
      </c>
      <c r="G121" s="4" t="s">
        <v>149</v>
      </c>
      <c r="H121" s="4" t="s">
        <v>226</v>
      </c>
      <c r="I121" s="4">
        <v>2</v>
      </c>
      <c r="J121" s="4">
        <v>350</v>
      </c>
      <c r="K121" s="4">
        <v>10</v>
      </c>
      <c r="L121" s="4">
        <v>630</v>
      </c>
      <c r="M121" s="4" t="s">
        <v>143</v>
      </c>
      <c r="N121" s="4" t="s">
        <v>31</v>
      </c>
      <c r="O121" s="4">
        <v>5</v>
      </c>
      <c r="P121" s="6">
        <f t="shared" si="8"/>
        <v>700</v>
      </c>
      <c r="Q121" s="6">
        <f t="shared" si="9"/>
        <v>70</v>
      </c>
      <c r="R121" s="6">
        <f t="shared" si="10"/>
        <v>126</v>
      </c>
      <c r="S121" s="6" t="str">
        <f t="shared" si="11"/>
        <v>Jul</v>
      </c>
      <c r="T121" s="6">
        <f t="shared" si="12"/>
        <v>2023</v>
      </c>
      <c r="U121" s="6" t="str">
        <f t="shared" si="13"/>
        <v>Delayed</v>
      </c>
      <c r="V121" s="6" t="str">
        <f t="shared" si="14"/>
        <v>Normal</v>
      </c>
      <c r="W121" s="6" t="str">
        <f t="shared" si="15"/>
        <v>No</v>
      </c>
    </row>
    <row r="122" spans="1:23" x14ac:dyDescent="0.3">
      <c r="A122" s="8" t="s">
        <v>378</v>
      </c>
      <c r="B122" s="3">
        <v>45275</v>
      </c>
      <c r="C122" s="2" t="s">
        <v>268</v>
      </c>
      <c r="D122" s="2" t="s">
        <v>269</v>
      </c>
      <c r="E122" s="2" t="s">
        <v>270</v>
      </c>
      <c r="F122" s="2" t="s">
        <v>19</v>
      </c>
      <c r="G122" s="2" t="s">
        <v>47</v>
      </c>
      <c r="H122" s="2" t="s">
        <v>379</v>
      </c>
      <c r="I122" s="2">
        <v>2</v>
      </c>
      <c r="J122" s="2">
        <v>950</v>
      </c>
      <c r="K122" s="2">
        <v>10</v>
      </c>
      <c r="L122" s="2">
        <v>1710</v>
      </c>
      <c r="M122" s="2" t="s">
        <v>22</v>
      </c>
      <c r="N122" s="2" t="s">
        <v>31</v>
      </c>
      <c r="O122" s="2">
        <v>2</v>
      </c>
      <c r="P122" s="6">
        <f t="shared" si="8"/>
        <v>1900</v>
      </c>
      <c r="Q122" s="6">
        <f t="shared" si="9"/>
        <v>190</v>
      </c>
      <c r="R122" s="6">
        <f t="shared" si="10"/>
        <v>342</v>
      </c>
      <c r="S122" s="6" t="str">
        <f t="shared" si="11"/>
        <v>Dec</v>
      </c>
      <c r="T122" s="6">
        <f t="shared" si="12"/>
        <v>2023</v>
      </c>
      <c r="U122" s="6" t="str">
        <f t="shared" si="13"/>
        <v>Fast</v>
      </c>
      <c r="V122" s="6" t="str">
        <f t="shared" si="14"/>
        <v>Normal</v>
      </c>
      <c r="W122" s="6" t="str">
        <f t="shared" si="15"/>
        <v>No</v>
      </c>
    </row>
    <row r="123" spans="1:23" x14ac:dyDescent="0.3">
      <c r="A123" s="9" t="s">
        <v>380</v>
      </c>
      <c r="B123" s="5">
        <v>45187</v>
      </c>
      <c r="C123" s="4" t="s">
        <v>61</v>
      </c>
      <c r="D123" s="4" t="s">
        <v>62</v>
      </c>
      <c r="E123" s="4" t="s">
        <v>35</v>
      </c>
      <c r="F123" s="4" t="s">
        <v>19</v>
      </c>
      <c r="G123" s="4" t="s">
        <v>91</v>
      </c>
      <c r="H123" s="4" t="s">
        <v>92</v>
      </c>
      <c r="I123" s="4">
        <v>3</v>
      </c>
      <c r="J123" s="4">
        <v>2200</v>
      </c>
      <c r="K123" s="4">
        <v>5</v>
      </c>
      <c r="L123" s="4">
        <v>6270</v>
      </c>
      <c r="M123" s="4" t="s">
        <v>143</v>
      </c>
      <c r="N123" s="4" t="s">
        <v>37</v>
      </c>
      <c r="O123" s="4">
        <v>9</v>
      </c>
      <c r="P123" s="6">
        <f t="shared" si="8"/>
        <v>6600</v>
      </c>
      <c r="Q123" s="6">
        <f t="shared" si="9"/>
        <v>330</v>
      </c>
      <c r="R123" s="6">
        <f t="shared" si="10"/>
        <v>1254</v>
      </c>
      <c r="S123" s="6" t="str">
        <f t="shared" si="11"/>
        <v>Sep</v>
      </c>
      <c r="T123" s="6">
        <f t="shared" si="12"/>
        <v>2023</v>
      </c>
      <c r="U123" s="6" t="str">
        <f t="shared" si="13"/>
        <v>Delayed</v>
      </c>
      <c r="V123" s="6" t="str">
        <f t="shared" si="14"/>
        <v>High Value</v>
      </c>
      <c r="W123" s="6" t="str">
        <f t="shared" si="15"/>
        <v>No</v>
      </c>
    </row>
    <row r="124" spans="1:23" x14ac:dyDescent="0.3">
      <c r="A124" s="8" t="s">
        <v>381</v>
      </c>
      <c r="B124" s="3">
        <v>45138</v>
      </c>
      <c r="C124" s="2" t="s">
        <v>382</v>
      </c>
      <c r="D124" s="2" t="s">
        <v>349</v>
      </c>
      <c r="E124" s="2" t="s">
        <v>35</v>
      </c>
      <c r="F124" s="2" t="s">
        <v>19</v>
      </c>
      <c r="G124" s="2" t="s">
        <v>91</v>
      </c>
      <c r="H124" s="2" t="s">
        <v>320</v>
      </c>
      <c r="I124" s="2">
        <v>2</v>
      </c>
      <c r="J124" s="2">
        <v>28000</v>
      </c>
      <c r="K124" s="2">
        <v>0</v>
      </c>
      <c r="L124" s="2">
        <v>56000</v>
      </c>
      <c r="M124" s="2" t="s">
        <v>43</v>
      </c>
      <c r="N124" s="2" t="s">
        <v>37</v>
      </c>
      <c r="O124" s="2">
        <v>7</v>
      </c>
      <c r="P124" s="6">
        <f t="shared" si="8"/>
        <v>56000</v>
      </c>
      <c r="Q124" s="6">
        <f t="shared" si="9"/>
        <v>0</v>
      </c>
      <c r="R124" s="6">
        <f t="shared" si="10"/>
        <v>11200</v>
      </c>
      <c r="S124" s="6" t="str">
        <f t="shared" si="11"/>
        <v>Jul</v>
      </c>
      <c r="T124" s="6">
        <f t="shared" si="12"/>
        <v>2023</v>
      </c>
      <c r="U124" s="6" t="str">
        <f t="shared" si="13"/>
        <v>Delayed</v>
      </c>
      <c r="V124" s="6" t="str">
        <f t="shared" si="14"/>
        <v>High Value</v>
      </c>
      <c r="W124" s="6" t="str">
        <f t="shared" si="15"/>
        <v>No</v>
      </c>
    </row>
    <row r="125" spans="1:23" x14ac:dyDescent="0.3">
      <c r="A125" s="9" t="s">
        <v>383</v>
      </c>
      <c r="B125" s="5">
        <v>45106</v>
      </c>
      <c r="C125" s="4" t="s">
        <v>272</v>
      </c>
      <c r="D125" s="4" t="s">
        <v>273</v>
      </c>
      <c r="E125" s="4" t="s">
        <v>27</v>
      </c>
      <c r="F125" s="4" t="s">
        <v>19</v>
      </c>
      <c r="G125" s="4" t="s">
        <v>20</v>
      </c>
      <c r="H125" s="4" t="s">
        <v>344</v>
      </c>
      <c r="I125" s="4">
        <v>3</v>
      </c>
      <c r="J125" s="4">
        <v>1800</v>
      </c>
      <c r="K125" s="4">
        <v>10</v>
      </c>
      <c r="L125" s="4">
        <v>4860</v>
      </c>
      <c r="M125" s="4" t="s">
        <v>71</v>
      </c>
      <c r="N125" s="4" t="s">
        <v>37</v>
      </c>
      <c r="O125" s="4">
        <v>10</v>
      </c>
      <c r="P125" s="6">
        <f t="shared" si="8"/>
        <v>5400</v>
      </c>
      <c r="Q125" s="6">
        <f t="shared" si="9"/>
        <v>540</v>
      </c>
      <c r="R125" s="6">
        <f t="shared" si="10"/>
        <v>972</v>
      </c>
      <c r="S125" s="6" t="str">
        <f t="shared" si="11"/>
        <v>Jun</v>
      </c>
      <c r="T125" s="6">
        <f t="shared" si="12"/>
        <v>2023</v>
      </c>
      <c r="U125" s="6" t="str">
        <f t="shared" si="13"/>
        <v>Delayed</v>
      </c>
      <c r="V125" s="6" t="str">
        <f t="shared" si="14"/>
        <v>Normal</v>
      </c>
      <c r="W125" s="6" t="str">
        <f t="shared" si="15"/>
        <v>No</v>
      </c>
    </row>
    <row r="126" spans="1:23" x14ac:dyDescent="0.3">
      <c r="A126" s="8" t="s">
        <v>384</v>
      </c>
      <c r="B126" s="3">
        <v>45015</v>
      </c>
      <c r="C126" s="2" t="s">
        <v>279</v>
      </c>
      <c r="D126" s="2" t="s">
        <v>280</v>
      </c>
      <c r="E126" s="2" t="s">
        <v>35</v>
      </c>
      <c r="F126" s="2" t="s">
        <v>19</v>
      </c>
      <c r="G126" s="2" t="s">
        <v>20</v>
      </c>
      <c r="H126" s="2" t="s">
        <v>355</v>
      </c>
      <c r="I126" s="2">
        <v>4</v>
      </c>
      <c r="J126" s="2">
        <v>800</v>
      </c>
      <c r="K126" s="2">
        <v>15</v>
      </c>
      <c r="L126" s="2">
        <v>2720</v>
      </c>
      <c r="M126" s="2" t="s">
        <v>43</v>
      </c>
      <c r="N126" s="2" t="s">
        <v>31</v>
      </c>
      <c r="O126" s="2">
        <v>1</v>
      </c>
      <c r="P126" s="6">
        <f t="shared" si="8"/>
        <v>3200</v>
      </c>
      <c r="Q126" s="6">
        <f t="shared" si="9"/>
        <v>480</v>
      </c>
      <c r="R126" s="6">
        <f t="shared" si="10"/>
        <v>544</v>
      </c>
      <c r="S126" s="6" t="str">
        <f t="shared" si="11"/>
        <v>Mar</v>
      </c>
      <c r="T126" s="6">
        <f t="shared" si="12"/>
        <v>2023</v>
      </c>
      <c r="U126" s="6" t="str">
        <f t="shared" si="13"/>
        <v>Fast</v>
      </c>
      <c r="V126" s="6" t="str">
        <f t="shared" si="14"/>
        <v>Normal</v>
      </c>
      <c r="W126" s="6" t="str">
        <f t="shared" si="15"/>
        <v>No</v>
      </c>
    </row>
    <row r="127" spans="1:23" x14ac:dyDescent="0.3">
      <c r="A127" s="9" t="s">
        <v>385</v>
      </c>
      <c r="B127" s="5">
        <v>45115</v>
      </c>
      <c r="C127" s="4" t="s">
        <v>386</v>
      </c>
      <c r="D127" s="4" t="s">
        <v>387</v>
      </c>
      <c r="E127" s="4" t="s">
        <v>260</v>
      </c>
      <c r="F127" s="4" t="s">
        <v>19</v>
      </c>
      <c r="G127" s="4" t="s">
        <v>47</v>
      </c>
      <c r="H127" s="4" t="s">
        <v>138</v>
      </c>
      <c r="I127" s="4">
        <v>4</v>
      </c>
      <c r="J127" s="4">
        <v>280</v>
      </c>
      <c r="K127" s="4">
        <v>0</v>
      </c>
      <c r="L127" s="4">
        <v>1120</v>
      </c>
      <c r="M127" s="4" t="s">
        <v>107</v>
      </c>
      <c r="N127" s="4" t="s">
        <v>37</v>
      </c>
      <c r="O127" s="4">
        <v>4</v>
      </c>
      <c r="P127" s="6">
        <f t="shared" si="8"/>
        <v>1120</v>
      </c>
      <c r="Q127" s="6">
        <f t="shared" si="9"/>
        <v>0</v>
      </c>
      <c r="R127" s="6">
        <f t="shared" si="10"/>
        <v>224</v>
      </c>
      <c r="S127" s="6" t="str">
        <f t="shared" si="11"/>
        <v>Jul</v>
      </c>
      <c r="T127" s="6">
        <f t="shared" si="12"/>
        <v>2023</v>
      </c>
      <c r="U127" s="6" t="str">
        <f t="shared" si="13"/>
        <v>Delayed</v>
      </c>
      <c r="V127" s="6" t="str">
        <f t="shared" si="14"/>
        <v>Normal</v>
      </c>
      <c r="W127" s="6" t="str">
        <f t="shared" si="15"/>
        <v>Yes</v>
      </c>
    </row>
    <row r="128" spans="1:23" x14ac:dyDescent="0.3">
      <c r="A128" s="8" t="s">
        <v>388</v>
      </c>
      <c r="B128" s="3">
        <v>45178</v>
      </c>
      <c r="C128" s="2" t="s">
        <v>376</v>
      </c>
      <c r="D128" s="2" t="s">
        <v>377</v>
      </c>
      <c r="E128" s="2" t="s">
        <v>270</v>
      </c>
      <c r="F128" s="2" t="s">
        <v>19</v>
      </c>
      <c r="G128" s="2" t="s">
        <v>91</v>
      </c>
      <c r="H128" s="2" t="s">
        <v>291</v>
      </c>
      <c r="I128" s="2">
        <v>4</v>
      </c>
      <c r="J128" s="2">
        <v>45000</v>
      </c>
      <c r="K128" s="2">
        <v>0</v>
      </c>
      <c r="L128" s="2">
        <v>180000</v>
      </c>
      <c r="M128" s="2" t="s">
        <v>30</v>
      </c>
      <c r="N128" s="2" t="s">
        <v>37</v>
      </c>
      <c r="O128" s="2">
        <v>7</v>
      </c>
      <c r="P128" s="6">
        <f t="shared" si="8"/>
        <v>180000</v>
      </c>
      <c r="Q128" s="6">
        <f t="shared" si="9"/>
        <v>0</v>
      </c>
      <c r="R128" s="6">
        <f t="shared" si="10"/>
        <v>36000</v>
      </c>
      <c r="S128" s="6" t="str">
        <f t="shared" si="11"/>
        <v>Sep</v>
      </c>
      <c r="T128" s="6">
        <f t="shared" si="12"/>
        <v>2023</v>
      </c>
      <c r="U128" s="6" t="str">
        <f t="shared" si="13"/>
        <v>Delayed</v>
      </c>
      <c r="V128" s="6" t="str">
        <f t="shared" si="14"/>
        <v>High Value</v>
      </c>
      <c r="W128" s="6" t="str">
        <f t="shared" si="15"/>
        <v>Yes</v>
      </c>
    </row>
    <row r="129" spans="1:23" x14ac:dyDescent="0.3">
      <c r="A129" s="9" t="s">
        <v>389</v>
      </c>
      <c r="B129" s="5">
        <v>45096</v>
      </c>
      <c r="C129" s="4" t="s">
        <v>390</v>
      </c>
      <c r="D129" s="4" t="s">
        <v>391</v>
      </c>
      <c r="E129" s="4" t="s">
        <v>176</v>
      </c>
      <c r="F129" s="4" t="s">
        <v>177</v>
      </c>
      <c r="G129" s="4" t="s">
        <v>28</v>
      </c>
      <c r="H129" s="4" t="s">
        <v>392</v>
      </c>
      <c r="I129" s="4">
        <v>1</v>
      </c>
      <c r="J129" s="4">
        <v>650</v>
      </c>
      <c r="K129" s="4">
        <v>20</v>
      </c>
      <c r="L129" s="4">
        <v>520</v>
      </c>
      <c r="M129" s="4" t="s">
        <v>143</v>
      </c>
      <c r="N129" s="4" t="s">
        <v>37</v>
      </c>
      <c r="O129" s="4">
        <v>10</v>
      </c>
      <c r="P129" s="6">
        <f t="shared" si="8"/>
        <v>650</v>
      </c>
      <c r="Q129" s="6">
        <f t="shared" si="9"/>
        <v>130</v>
      </c>
      <c r="R129" s="6">
        <f t="shared" si="10"/>
        <v>104</v>
      </c>
      <c r="S129" s="6" t="str">
        <f t="shared" si="11"/>
        <v>Jun</v>
      </c>
      <c r="T129" s="6">
        <f t="shared" si="12"/>
        <v>2023</v>
      </c>
      <c r="U129" s="6" t="str">
        <f t="shared" si="13"/>
        <v>Delayed</v>
      </c>
      <c r="V129" s="6" t="str">
        <f t="shared" si="14"/>
        <v>Normal</v>
      </c>
      <c r="W129" s="6" t="str">
        <f t="shared" si="15"/>
        <v>No</v>
      </c>
    </row>
    <row r="130" spans="1:23" x14ac:dyDescent="0.3">
      <c r="A130" s="8" t="s">
        <v>393</v>
      </c>
      <c r="B130" s="3">
        <v>45054</v>
      </c>
      <c r="C130" s="2" t="s">
        <v>394</v>
      </c>
      <c r="D130" s="2" t="s">
        <v>395</v>
      </c>
      <c r="E130" s="2" t="s">
        <v>83</v>
      </c>
      <c r="F130" s="2" t="s">
        <v>19</v>
      </c>
      <c r="G130" s="2" t="s">
        <v>126</v>
      </c>
      <c r="H130" s="2" t="s">
        <v>127</v>
      </c>
      <c r="I130" s="2">
        <v>1</v>
      </c>
      <c r="J130" s="2">
        <v>850</v>
      </c>
      <c r="K130" s="2">
        <v>0</v>
      </c>
      <c r="L130" s="2">
        <v>850</v>
      </c>
      <c r="M130" s="2" t="s">
        <v>30</v>
      </c>
      <c r="N130" s="2" t="s">
        <v>64</v>
      </c>
      <c r="O130" s="2">
        <v>4</v>
      </c>
      <c r="P130" s="6">
        <f t="shared" si="8"/>
        <v>850</v>
      </c>
      <c r="Q130" s="6">
        <f t="shared" si="9"/>
        <v>0</v>
      </c>
      <c r="R130" s="6">
        <f t="shared" si="10"/>
        <v>170</v>
      </c>
      <c r="S130" s="6" t="str">
        <f t="shared" si="11"/>
        <v>May</v>
      </c>
      <c r="T130" s="6">
        <f t="shared" si="12"/>
        <v>2023</v>
      </c>
      <c r="U130" s="6" t="str">
        <f t="shared" si="13"/>
        <v>Delayed</v>
      </c>
      <c r="V130" s="6" t="str">
        <f t="shared" si="14"/>
        <v>Normal</v>
      </c>
      <c r="W130" s="6" t="str">
        <f t="shared" si="15"/>
        <v>No</v>
      </c>
    </row>
    <row r="131" spans="1:23" x14ac:dyDescent="0.3">
      <c r="A131" s="9" t="s">
        <v>396</v>
      </c>
      <c r="B131" s="5">
        <v>45320</v>
      </c>
      <c r="C131" s="4" t="s">
        <v>397</v>
      </c>
      <c r="D131" s="4" t="s">
        <v>398</v>
      </c>
      <c r="E131" s="4" t="s">
        <v>299</v>
      </c>
      <c r="F131" s="4" t="s">
        <v>19</v>
      </c>
      <c r="G131" s="4" t="s">
        <v>20</v>
      </c>
      <c r="H131" s="4" t="s">
        <v>355</v>
      </c>
      <c r="I131" s="4">
        <v>4</v>
      </c>
      <c r="J131" s="4">
        <v>800</v>
      </c>
      <c r="K131" s="4">
        <v>20</v>
      </c>
      <c r="L131" s="4">
        <v>2560</v>
      </c>
      <c r="M131" s="4" t="s">
        <v>22</v>
      </c>
      <c r="N131" s="4" t="s">
        <v>64</v>
      </c>
      <c r="O131" s="4">
        <v>1</v>
      </c>
      <c r="P131" s="6">
        <f t="shared" ref="P131:P194" si="16">I131*J131</f>
        <v>3200</v>
      </c>
      <c r="Q131" s="6">
        <f t="shared" ref="Q131:Q194" si="17">P131*(K131/100)</f>
        <v>640</v>
      </c>
      <c r="R131" s="6">
        <f t="shared" ref="R131:R194" si="18">L131*0.2</f>
        <v>512</v>
      </c>
      <c r="S131" s="6" t="str">
        <f t="shared" ref="S131:S194" si="19">TEXT(B131,"MMM")</f>
        <v>Jan</v>
      </c>
      <c r="T131" s="6">
        <f t="shared" ref="T131:T194" si="20">YEAR(B131)</f>
        <v>2024</v>
      </c>
      <c r="U131" s="6" t="str">
        <f t="shared" ref="U131:U194" si="21">IF(O131&lt;=3,"Fast","Delayed")</f>
        <v>Fast</v>
      </c>
      <c r="V131" s="6" t="str">
        <f t="shared" ref="V131:V194" si="22">IF(L131&gt;5000,"High Value","Normal")</f>
        <v>Normal</v>
      </c>
      <c r="W131" s="6" t="str">
        <f t="shared" ref="W131:W194" si="23">IF(WEEKDAY(B131,2)&gt;5,"Yes","No")</f>
        <v>No</v>
      </c>
    </row>
    <row r="132" spans="1:23" x14ac:dyDescent="0.3">
      <c r="A132" s="8" t="s">
        <v>399</v>
      </c>
      <c r="B132" s="3">
        <v>45443</v>
      </c>
      <c r="C132" s="2" t="s">
        <v>400</v>
      </c>
      <c r="D132" s="2" t="s">
        <v>401</v>
      </c>
      <c r="E132" s="2" t="s">
        <v>137</v>
      </c>
      <c r="F132" s="2" t="s">
        <v>19</v>
      </c>
      <c r="G132" s="2" t="s">
        <v>28</v>
      </c>
      <c r="H132" s="2" t="s">
        <v>98</v>
      </c>
      <c r="I132" s="2">
        <v>4</v>
      </c>
      <c r="J132" s="2">
        <v>220</v>
      </c>
      <c r="K132" s="2">
        <v>0</v>
      </c>
      <c r="L132" s="2">
        <v>880</v>
      </c>
      <c r="M132" s="2" t="s">
        <v>22</v>
      </c>
      <c r="N132" s="2" t="s">
        <v>37</v>
      </c>
      <c r="O132" s="2">
        <v>4</v>
      </c>
      <c r="P132" s="6">
        <f t="shared" si="16"/>
        <v>880</v>
      </c>
      <c r="Q132" s="6">
        <f t="shared" si="17"/>
        <v>0</v>
      </c>
      <c r="R132" s="6">
        <f t="shared" si="18"/>
        <v>176</v>
      </c>
      <c r="S132" s="6" t="str">
        <f t="shared" si="19"/>
        <v>May</v>
      </c>
      <c r="T132" s="6">
        <f t="shared" si="20"/>
        <v>2024</v>
      </c>
      <c r="U132" s="6" t="str">
        <f t="shared" si="21"/>
        <v>Delayed</v>
      </c>
      <c r="V132" s="6" t="str">
        <f t="shared" si="22"/>
        <v>Normal</v>
      </c>
      <c r="W132" s="6" t="str">
        <f t="shared" si="23"/>
        <v>No</v>
      </c>
    </row>
    <row r="133" spans="1:23" x14ac:dyDescent="0.3">
      <c r="A133" s="9" t="s">
        <v>402</v>
      </c>
      <c r="B133" s="5">
        <v>44975</v>
      </c>
      <c r="C133" s="4" t="s">
        <v>403</v>
      </c>
      <c r="D133" s="4" t="s">
        <v>404</v>
      </c>
      <c r="E133" s="4" t="s">
        <v>270</v>
      </c>
      <c r="F133" s="4" t="s">
        <v>19</v>
      </c>
      <c r="G133" s="4" t="s">
        <v>47</v>
      </c>
      <c r="H133" s="4" t="s">
        <v>217</v>
      </c>
      <c r="I133" s="4">
        <v>1</v>
      </c>
      <c r="J133" s="4">
        <v>1200</v>
      </c>
      <c r="K133" s="4">
        <v>0</v>
      </c>
      <c r="L133" s="4">
        <v>1200</v>
      </c>
      <c r="M133" s="4" t="s">
        <v>22</v>
      </c>
      <c r="N133" s="4" t="s">
        <v>37</v>
      </c>
      <c r="O133" s="4">
        <v>9</v>
      </c>
      <c r="P133" s="6">
        <f t="shared" si="16"/>
        <v>1200</v>
      </c>
      <c r="Q133" s="6">
        <f t="shared" si="17"/>
        <v>0</v>
      </c>
      <c r="R133" s="6">
        <f t="shared" si="18"/>
        <v>240</v>
      </c>
      <c r="S133" s="6" t="str">
        <f t="shared" si="19"/>
        <v>Feb</v>
      </c>
      <c r="T133" s="6">
        <f t="shared" si="20"/>
        <v>2023</v>
      </c>
      <c r="U133" s="6" t="str">
        <f t="shared" si="21"/>
        <v>Delayed</v>
      </c>
      <c r="V133" s="6" t="str">
        <f t="shared" si="22"/>
        <v>Normal</v>
      </c>
      <c r="W133" s="6" t="str">
        <f t="shared" si="23"/>
        <v>Yes</v>
      </c>
    </row>
    <row r="134" spans="1:23" x14ac:dyDescent="0.3">
      <c r="A134" s="8" t="s">
        <v>405</v>
      </c>
      <c r="B134" s="3">
        <v>45091</v>
      </c>
      <c r="C134" s="2" t="s">
        <v>16</v>
      </c>
      <c r="D134" s="2" t="s">
        <v>17</v>
      </c>
      <c r="E134" s="2" t="s">
        <v>18</v>
      </c>
      <c r="F134" s="2" t="s">
        <v>19</v>
      </c>
      <c r="G134" s="2" t="s">
        <v>20</v>
      </c>
      <c r="H134" s="2" t="s">
        <v>36</v>
      </c>
      <c r="I134" s="2">
        <v>4</v>
      </c>
      <c r="J134" s="2">
        <v>1200</v>
      </c>
      <c r="K134" s="2">
        <v>0</v>
      </c>
      <c r="L134" s="2">
        <v>4800</v>
      </c>
      <c r="M134" s="2" t="s">
        <v>43</v>
      </c>
      <c r="N134" s="2" t="s">
        <v>31</v>
      </c>
      <c r="O134" s="2">
        <v>2</v>
      </c>
      <c r="P134" s="6">
        <f t="shared" si="16"/>
        <v>4800</v>
      </c>
      <c r="Q134" s="6">
        <f t="shared" si="17"/>
        <v>0</v>
      </c>
      <c r="R134" s="6">
        <f t="shared" si="18"/>
        <v>960</v>
      </c>
      <c r="S134" s="6" t="str">
        <f t="shared" si="19"/>
        <v>Jun</v>
      </c>
      <c r="T134" s="6">
        <f t="shared" si="20"/>
        <v>2023</v>
      </c>
      <c r="U134" s="6" t="str">
        <f t="shared" si="21"/>
        <v>Fast</v>
      </c>
      <c r="V134" s="6" t="str">
        <f t="shared" si="22"/>
        <v>Normal</v>
      </c>
      <c r="W134" s="6" t="str">
        <f t="shared" si="23"/>
        <v>No</v>
      </c>
    </row>
    <row r="135" spans="1:23" x14ac:dyDescent="0.3">
      <c r="A135" s="9" t="s">
        <v>406</v>
      </c>
      <c r="B135" s="5">
        <v>44935</v>
      </c>
      <c r="C135" s="4" t="s">
        <v>145</v>
      </c>
      <c r="D135" s="4" t="s">
        <v>146</v>
      </c>
      <c r="E135" s="4" t="s">
        <v>147</v>
      </c>
      <c r="F135" s="4" t="s">
        <v>19</v>
      </c>
      <c r="G135" s="4" t="s">
        <v>69</v>
      </c>
      <c r="H135" s="4" t="s">
        <v>70</v>
      </c>
      <c r="I135" s="4">
        <v>4</v>
      </c>
      <c r="J135" s="4">
        <v>850</v>
      </c>
      <c r="K135" s="4">
        <v>0</v>
      </c>
      <c r="L135" s="4">
        <v>3400</v>
      </c>
      <c r="M135" s="4" t="s">
        <v>22</v>
      </c>
      <c r="N135" s="4" t="s">
        <v>37</v>
      </c>
      <c r="O135" s="4">
        <v>7</v>
      </c>
      <c r="P135" s="6">
        <f t="shared" si="16"/>
        <v>3400</v>
      </c>
      <c r="Q135" s="6">
        <f t="shared" si="17"/>
        <v>0</v>
      </c>
      <c r="R135" s="6">
        <f t="shared" si="18"/>
        <v>680</v>
      </c>
      <c r="S135" s="6" t="str">
        <f t="shared" si="19"/>
        <v>Jan</v>
      </c>
      <c r="T135" s="6">
        <f t="shared" si="20"/>
        <v>2023</v>
      </c>
      <c r="U135" s="6" t="str">
        <f t="shared" si="21"/>
        <v>Delayed</v>
      </c>
      <c r="V135" s="6" t="str">
        <f t="shared" si="22"/>
        <v>Normal</v>
      </c>
      <c r="W135" s="6" t="str">
        <f t="shared" si="23"/>
        <v>No</v>
      </c>
    </row>
    <row r="136" spans="1:23" x14ac:dyDescent="0.3">
      <c r="A136" s="8" t="s">
        <v>407</v>
      </c>
      <c r="B136" s="3">
        <v>45355</v>
      </c>
      <c r="C136" s="2" t="s">
        <v>73</v>
      </c>
      <c r="D136" s="2" t="s">
        <v>74</v>
      </c>
      <c r="E136" s="2" t="s">
        <v>41</v>
      </c>
      <c r="F136" s="2" t="s">
        <v>19</v>
      </c>
      <c r="G136" s="2" t="s">
        <v>126</v>
      </c>
      <c r="H136" s="2" t="s">
        <v>127</v>
      </c>
      <c r="I136" s="2">
        <v>1</v>
      </c>
      <c r="J136" s="2">
        <v>850</v>
      </c>
      <c r="K136" s="2">
        <v>0</v>
      </c>
      <c r="L136" s="2">
        <v>850</v>
      </c>
      <c r="M136" s="2" t="s">
        <v>143</v>
      </c>
      <c r="N136" s="2" t="s">
        <v>37</v>
      </c>
      <c r="O136" s="2">
        <v>3</v>
      </c>
      <c r="P136" s="6">
        <f t="shared" si="16"/>
        <v>850</v>
      </c>
      <c r="Q136" s="6">
        <f t="shared" si="17"/>
        <v>0</v>
      </c>
      <c r="R136" s="6">
        <f t="shared" si="18"/>
        <v>170</v>
      </c>
      <c r="S136" s="6" t="str">
        <f t="shared" si="19"/>
        <v>Mar</v>
      </c>
      <c r="T136" s="6">
        <f t="shared" si="20"/>
        <v>2024</v>
      </c>
      <c r="U136" s="6" t="str">
        <f t="shared" si="21"/>
        <v>Fast</v>
      </c>
      <c r="V136" s="6" t="str">
        <f t="shared" si="22"/>
        <v>Normal</v>
      </c>
      <c r="W136" s="6" t="str">
        <f t="shared" si="23"/>
        <v>No</v>
      </c>
    </row>
    <row r="137" spans="1:23" x14ac:dyDescent="0.3">
      <c r="A137" s="9" t="s">
        <v>408</v>
      </c>
      <c r="B137" s="5">
        <v>45232</v>
      </c>
      <c r="C137" s="4" t="s">
        <v>314</v>
      </c>
      <c r="D137" s="4" t="s">
        <v>315</v>
      </c>
      <c r="E137" s="4" t="s">
        <v>260</v>
      </c>
      <c r="F137" s="4" t="s">
        <v>19</v>
      </c>
      <c r="G137" s="4" t="s">
        <v>126</v>
      </c>
      <c r="H137" s="4" t="s">
        <v>409</v>
      </c>
      <c r="I137" s="4">
        <v>1</v>
      </c>
      <c r="J137" s="4">
        <v>1800</v>
      </c>
      <c r="K137" s="4">
        <v>20</v>
      </c>
      <c r="L137" s="4">
        <v>1440</v>
      </c>
      <c r="M137" s="4" t="s">
        <v>71</v>
      </c>
      <c r="N137" s="4" t="s">
        <v>37</v>
      </c>
      <c r="O137" s="4">
        <v>6</v>
      </c>
      <c r="P137" s="6">
        <f t="shared" si="16"/>
        <v>1800</v>
      </c>
      <c r="Q137" s="6">
        <f t="shared" si="17"/>
        <v>360</v>
      </c>
      <c r="R137" s="6">
        <f t="shared" si="18"/>
        <v>288</v>
      </c>
      <c r="S137" s="6" t="str">
        <f t="shared" si="19"/>
        <v>Nov</v>
      </c>
      <c r="T137" s="6">
        <f t="shared" si="20"/>
        <v>2023</v>
      </c>
      <c r="U137" s="6" t="str">
        <f t="shared" si="21"/>
        <v>Delayed</v>
      </c>
      <c r="V137" s="6" t="str">
        <f t="shared" si="22"/>
        <v>Normal</v>
      </c>
      <c r="W137" s="6" t="str">
        <f t="shared" si="23"/>
        <v>No</v>
      </c>
    </row>
    <row r="138" spans="1:23" x14ac:dyDescent="0.3">
      <c r="A138" s="8" t="s">
        <v>410</v>
      </c>
      <c r="B138" s="3">
        <v>45372</v>
      </c>
      <c r="C138" s="2" t="s">
        <v>390</v>
      </c>
      <c r="D138" s="2" t="s">
        <v>391</v>
      </c>
      <c r="E138" s="2" t="s">
        <v>176</v>
      </c>
      <c r="F138" s="2" t="s">
        <v>177</v>
      </c>
      <c r="G138" s="2" t="s">
        <v>54</v>
      </c>
      <c r="H138" s="2" t="s">
        <v>55</v>
      </c>
      <c r="I138" s="2">
        <v>3</v>
      </c>
      <c r="J138" s="2">
        <v>180</v>
      </c>
      <c r="K138" s="2">
        <v>0</v>
      </c>
      <c r="L138" s="2">
        <v>540</v>
      </c>
      <c r="M138" s="2" t="s">
        <v>143</v>
      </c>
      <c r="N138" s="2" t="s">
        <v>37</v>
      </c>
      <c r="O138" s="2">
        <v>2</v>
      </c>
      <c r="P138" s="6">
        <f t="shared" si="16"/>
        <v>540</v>
      </c>
      <c r="Q138" s="6">
        <f t="shared" si="17"/>
        <v>0</v>
      </c>
      <c r="R138" s="6">
        <f t="shared" si="18"/>
        <v>108</v>
      </c>
      <c r="S138" s="6" t="str">
        <f t="shared" si="19"/>
        <v>Mar</v>
      </c>
      <c r="T138" s="6">
        <f t="shared" si="20"/>
        <v>2024</v>
      </c>
      <c r="U138" s="6" t="str">
        <f t="shared" si="21"/>
        <v>Fast</v>
      </c>
      <c r="V138" s="6" t="str">
        <f t="shared" si="22"/>
        <v>Normal</v>
      </c>
      <c r="W138" s="6" t="str">
        <f t="shared" si="23"/>
        <v>No</v>
      </c>
    </row>
    <row r="139" spans="1:23" x14ac:dyDescent="0.3">
      <c r="A139" s="9" t="s">
        <v>411</v>
      </c>
      <c r="B139" s="5">
        <v>45143</v>
      </c>
      <c r="C139" s="4" t="s">
        <v>224</v>
      </c>
      <c r="D139" s="4" t="s">
        <v>225</v>
      </c>
      <c r="E139" s="4" t="s">
        <v>41</v>
      </c>
      <c r="F139" s="4" t="s">
        <v>19</v>
      </c>
      <c r="G139" s="4" t="s">
        <v>47</v>
      </c>
      <c r="H139" s="4" t="s">
        <v>138</v>
      </c>
      <c r="I139" s="4">
        <v>2</v>
      </c>
      <c r="J139" s="4">
        <v>280</v>
      </c>
      <c r="K139" s="4">
        <v>5</v>
      </c>
      <c r="L139" s="4">
        <v>532</v>
      </c>
      <c r="M139" s="4" t="s">
        <v>107</v>
      </c>
      <c r="N139" s="4" t="s">
        <v>37</v>
      </c>
      <c r="O139" s="4">
        <v>8</v>
      </c>
      <c r="P139" s="6">
        <f t="shared" si="16"/>
        <v>560</v>
      </c>
      <c r="Q139" s="6">
        <f t="shared" si="17"/>
        <v>28</v>
      </c>
      <c r="R139" s="6">
        <f t="shared" si="18"/>
        <v>106.4</v>
      </c>
      <c r="S139" s="6" t="str">
        <f t="shared" si="19"/>
        <v>Aug</v>
      </c>
      <c r="T139" s="6">
        <f t="shared" si="20"/>
        <v>2023</v>
      </c>
      <c r="U139" s="6" t="str">
        <f t="shared" si="21"/>
        <v>Delayed</v>
      </c>
      <c r="V139" s="6" t="str">
        <f t="shared" si="22"/>
        <v>Normal</v>
      </c>
      <c r="W139" s="6" t="str">
        <f t="shared" si="23"/>
        <v>Yes</v>
      </c>
    </row>
    <row r="140" spans="1:23" x14ac:dyDescent="0.3">
      <c r="A140" s="8" t="s">
        <v>412</v>
      </c>
      <c r="B140" s="3">
        <v>45030</v>
      </c>
      <c r="C140" s="2" t="s">
        <v>39</v>
      </c>
      <c r="D140" s="2" t="s">
        <v>40</v>
      </c>
      <c r="E140" s="2" t="s">
        <v>41</v>
      </c>
      <c r="F140" s="2" t="s">
        <v>19</v>
      </c>
      <c r="G140" s="2" t="s">
        <v>54</v>
      </c>
      <c r="H140" s="2" t="s">
        <v>413</v>
      </c>
      <c r="I140" s="2">
        <v>2</v>
      </c>
      <c r="J140" s="2">
        <v>350</v>
      </c>
      <c r="K140" s="2">
        <v>10</v>
      </c>
      <c r="L140" s="2">
        <v>630</v>
      </c>
      <c r="M140" s="2" t="s">
        <v>30</v>
      </c>
      <c r="N140" s="2" t="s">
        <v>23</v>
      </c>
      <c r="O140" s="2">
        <v>0</v>
      </c>
      <c r="P140" s="6">
        <f t="shared" si="16"/>
        <v>700</v>
      </c>
      <c r="Q140" s="6">
        <f t="shared" si="17"/>
        <v>70</v>
      </c>
      <c r="R140" s="6">
        <f t="shared" si="18"/>
        <v>126</v>
      </c>
      <c r="S140" s="6" t="str">
        <f t="shared" si="19"/>
        <v>Apr</v>
      </c>
      <c r="T140" s="6">
        <f t="shared" si="20"/>
        <v>2023</v>
      </c>
      <c r="U140" s="6" t="str">
        <f t="shared" si="21"/>
        <v>Fast</v>
      </c>
      <c r="V140" s="6" t="str">
        <f t="shared" si="22"/>
        <v>Normal</v>
      </c>
      <c r="W140" s="6" t="str">
        <f t="shared" si="23"/>
        <v>No</v>
      </c>
    </row>
    <row r="141" spans="1:23" x14ac:dyDescent="0.3">
      <c r="A141" s="9" t="s">
        <v>414</v>
      </c>
      <c r="B141" s="5">
        <v>45029</v>
      </c>
      <c r="C141" s="4" t="s">
        <v>145</v>
      </c>
      <c r="D141" s="4" t="s">
        <v>146</v>
      </c>
      <c r="E141" s="4" t="s">
        <v>147</v>
      </c>
      <c r="F141" s="4" t="s">
        <v>19</v>
      </c>
      <c r="G141" s="4" t="s">
        <v>54</v>
      </c>
      <c r="H141" s="4" t="s">
        <v>415</v>
      </c>
      <c r="I141" s="4">
        <v>2</v>
      </c>
      <c r="J141" s="4">
        <v>320</v>
      </c>
      <c r="K141" s="4">
        <v>10</v>
      </c>
      <c r="L141" s="4">
        <v>576</v>
      </c>
      <c r="M141" s="4" t="s">
        <v>143</v>
      </c>
      <c r="N141" s="4" t="s">
        <v>31</v>
      </c>
      <c r="O141" s="4">
        <v>3</v>
      </c>
      <c r="P141" s="6">
        <f t="shared" si="16"/>
        <v>640</v>
      </c>
      <c r="Q141" s="6">
        <f t="shared" si="17"/>
        <v>64</v>
      </c>
      <c r="R141" s="6">
        <f t="shared" si="18"/>
        <v>115.2</v>
      </c>
      <c r="S141" s="6" t="str">
        <f t="shared" si="19"/>
        <v>Apr</v>
      </c>
      <c r="T141" s="6">
        <f t="shared" si="20"/>
        <v>2023</v>
      </c>
      <c r="U141" s="6" t="str">
        <f t="shared" si="21"/>
        <v>Fast</v>
      </c>
      <c r="V141" s="6" t="str">
        <f t="shared" si="22"/>
        <v>Normal</v>
      </c>
      <c r="W141" s="6" t="str">
        <f t="shared" si="23"/>
        <v>No</v>
      </c>
    </row>
    <row r="142" spans="1:23" x14ac:dyDescent="0.3">
      <c r="A142" s="8" t="s">
        <v>416</v>
      </c>
      <c r="B142" s="3">
        <v>45015</v>
      </c>
      <c r="C142" s="2" t="s">
        <v>241</v>
      </c>
      <c r="D142" s="2" t="s">
        <v>242</v>
      </c>
      <c r="E142" s="2" t="s">
        <v>230</v>
      </c>
      <c r="F142" s="2" t="s">
        <v>19</v>
      </c>
      <c r="G142" s="2" t="s">
        <v>47</v>
      </c>
      <c r="H142" s="2" t="s">
        <v>285</v>
      </c>
      <c r="I142" s="2">
        <v>3</v>
      </c>
      <c r="J142" s="2">
        <v>1800</v>
      </c>
      <c r="K142" s="2">
        <v>5</v>
      </c>
      <c r="L142" s="2">
        <v>5130</v>
      </c>
      <c r="M142" s="2" t="s">
        <v>43</v>
      </c>
      <c r="N142" s="2" t="s">
        <v>64</v>
      </c>
      <c r="O142" s="2">
        <v>1</v>
      </c>
      <c r="P142" s="6">
        <f t="shared" si="16"/>
        <v>5400</v>
      </c>
      <c r="Q142" s="6">
        <f t="shared" si="17"/>
        <v>270</v>
      </c>
      <c r="R142" s="6">
        <f t="shared" si="18"/>
        <v>1026</v>
      </c>
      <c r="S142" s="6" t="str">
        <f t="shared" si="19"/>
        <v>Mar</v>
      </c>
      <c r="T142" s="6">
        <f t="shared" si="20"/>
        <v>2023</v>
      </c>
      <c r="U142" s="6" t="str">
        <f t="shared" si="21"/>
        <v>Fast</v>
      </c>
      <c r="V142" s="6" t="str">
        <f t="shared" si="22"/>
        <v>High Value</v>
      </c>
      <c r="W142" s="6" t="str">
        <f t="shared" si="23"/>
        <v>No</v>
      </c>
    </row>
    <row r="143" spans="1:23" x14ac:dyDescent="0.3">
      <c r="A143" s="9" t="s">
        <v>417</v>
      </c>
      <c r="B143" s="5">
        <v>45394</v>
      </c>
      <c r="C143" s="4" t="s">
        <v>403</v>
      </c>
      <c r="D143" s="4" t="s">
        <v>404</v>
      </c>
      <c r="E143" s="4" t="s">
        <v>270</v>
      </c>
      <c r="F143" s="4" t="s">
        <v>19</v>
      </c>
      <c r="G143" s="4" t="s">
        <v>149</v>
      </c>
      <c r="H143" s="4" t="s">
        <v>342</v>
      </c>
      <c r="I143" s="4">
        <v>3</v>
      </c>
      <c r="J143" s="4">
        <v>599</v>
      </c>
      <c r="K143" s="4">
        <v>15</v>
      </c>
      <c r="L143" s="4">
        <v>1527.45</v>
      </c>
      <c r="M143" s="4" t="s">
        <v>71</v>
      </c>
      <c r="N143" s="4" t="s">
        <v>37</v>
      </c>
      <c r="O143" s="4">
        <v>6</v>
      </c>
      <c r="P143" s="6">
        <f t="shared" si="16"/>
        <v>1797</v>
      </c>
      <c r="Q143" s="6">
        <f t="shared" si="17"/>
        <v>269.55</v>
      </c>
      <c r="R143" s="6">
        <f t="shared" si="18"/>
        <v>305.49</v>
      </c>
      <c r="S143" s="6" t="str">
        <f t="shared" si="19"/>
        <v>Apr</v>
      </c>
      <c r="T143" s="6">
        <f t="shared" si="20"/>
        <v>2024</v>
      </c>
      <c r="U143" s="6" t="str">
        <f t="shared" si="21"/>
        <v>Delayed</v>
      </c>
      <c r="V143" s="6" t="str">
        <f t="shared" si="22"/>
        <v>Normal</v>
      </c>
      <c r="W143" s="6" t="str">
        <f t="shared" si="23"/>
        <v>No</v>
      </c>
    </row>
    <row r="144" spans="1:23" x14ac:dyDescent="0.3">
      <c r="A144" s="8" t="s">
        <v>418</v>
      </c>
      <c r="B144" s="3">
        <v>45174</v>
      </c>
      <c r="C144" s="2" t="s">
        <v>73</v>
      </c>
      <c r="D144" s="2" t="s">
        <v>74</v>
      </c>
      <c r="E144" s="2" t="s">
        <v>41</v>
      </c>
      <c r="F144" s="2" t="s">
        <v>19</v>
      </c>
      <c r="G144" s="2" t="s">
        <v>126</v>
      </c>
      <c r="H144" s="2" t="s">
        <v>367</v>
      </c>
      <c r="I144" s="2">
        <v>2</v>
      </c>
      <c r="J144" s="2">
        <v>280</v>
      </c>
      <c r="K144" s="2">
        <v>0</v>
      </c>
      <c r="L144" s="2">
        <v>560</v>
      </c>
      <c r="M144" s="2" t="s">
        <v>43</v>
      </c>
      <c r="N144" s="2" t="s">
        <v>64</v>
      </c>
      <c r="O144" s="2">
        <v>1</v>
      </c>
      <c r="P144" s="6">
        <f t="shared" si="16"/>
        <v>560</v>
      </c>
      <c r="Q144" s="6">
        <f t="shared" si="17"/>
        <v>0</v>
      </c>
      <c r="R144" s="6">
        <f t="shared" si="18"/>
        <v>112</v>
      </c>
      <c r="S144" s="6" t="str">
        <f t="shared" si="19"/>
        <v>Sep</v>
      </c>
      <c r="T144" s="6">
        <f t="shared" si="20"/>
        <v>2023</v>
      </c>
      <c r="U144" s="6" t="str">
        <f t="shared" si="21"/>
        <v>Fast</v>
      </c>
      <c r="V144" s="6" t="str">
        <f t="shared" si="22"/>
        <v>Normal</v>
      </c>
      <c r="W144" s="6" t="str">
        <f t="shared" si="23"/>
        <v>No</v>
      </c>
    </row>
    <row r="145" spans="1:23" x14ac:dyDescent="0.3">
      <c r="A145" s="9" t="s">
        <v>419</v>
      </c>
      <c r="B145" s="5">
        <v>45207</v>
      </c>
      <c r="C145" s="4" t="s">
        <v>109</v>
      </c>
      <c r="D145" s="4" t="s">
        <v>110</v>
      </c>
      <c r="E145" s="4" t="s">
        <v>52</v>
      </c>
      <c r="F145" s="4" t="s">
        <v>53</v>
      </c>
      <c r="G145" s="4" t="s">
        <v>54</v>
      </c>
      <c r="H145" s="4" t="s">
        <v>55</v>
      </c>
      <c r="I145" s="4">
        <v>3</v>
      </c>
      <c r="J145" s="4">
        <v>180</v>
      </c>
      <c r="K145" s="4">
        <v>5</v>
      </c>
      <c r="L145" s="4">
        <v>513</v>
      </c>
      <c r="M145" s="4" t="s">
        <v>71</v>
      </c>
      <c r="N145" s="4" t="s">
        <v>31</v>
      </c>
      <c r="O145" s="4">
        <v>4</v>
      </c>
      <c r="P145" s="6">
        <f t="shared" si="16"/>
        <v>540</v>
      </c>
      <c r="Q145" s="6">
        <f t="shared" si="17"/>
        <v>27</v>
      </c>
      <c r="R145" s="6">
        <f t="shared" si="18"/>
        <v>102.60000000000001</v>
      </c>
      <c r="S145" s="6" t="str">
        <f t="shared" si="19"/>
        <v>Oct</v>
      </c>
      <c r="T145" s="6">
        <f t="shared" si="20"/>
        <v>2023</v>
      </c>
      <c r="U145" s="6" t="str">
        <f t="shared" si="21"/>
        <v>Delayed</v>
      </c>
      <c r="V145" s="6" t="str">
        <f t="shared" si="22"/>
        <v>Normal</v>
      </c>
      <c r="W145" s="6" t="str">
        <f t="shared" si="23"/>
        <v>Yes</v>
      </c>
    </row>
    <row r="146" spans="1:23" x14ac:dyDescent="0.3">
      <c r="A146" s="8" t="s">
        <v>420</v>
      </c>
      <c r="B146" s="3">
        <v>44994</v>
      </c>
      <c r="C146" s="2" t="s">
        <v>421</v>
      </c>
      <c r="D146" s="2" t="s">
        <v>377</v>
      </c>
      <c r="E146" s="2" t="s">
        <v>147</v>
      </c>
      <c r="F146" s="2" t="s">
        <v>19</v>
      </c>
      <c r="G146" s="2" t="s">
        <v>149</v>
      </c>
      <c r="H146" s="2" t="s">
        <v>182</v>
      </c>
      <c r="I146" s="2">
        <v>3</v>
      </c>
      <c r="J146" s="2">
        <v>180</v>
      </c>
      <c r="K146" s="2">
        <v>5</v>
      </c>
      <c r="L146" s="2">
        <v>513</v>
      </c>
      <c r="M146" s="2" t="s">
        <v>30</v>
      </c>
      <c r="N146" s="2" t="s">
        <v>37</v>
      </c>
      <c r="O146" s="2">
        <v>9</v>
      </c>
      <c r="P146" s="6">
        <f t="shared" si="16"/>
        <v>540</v>
      </c>
      <c r="Q146" s="6">
        <f t="shared" si="17"/>
        <v>27</v>
      </c>
      <c r="R146" s="6">
        <f t="shared" si="18"/>
        <v>102.60000000000001</v>
      </c>
      <c r="S146" s="6" t="str">
        <f t="shared" si="19"/>
        <v>Mar</v>
      </c>
      <c r="T146" s="6">
        <f t="shared" si="20"/>
        <v>2023</v>
      </c>
      <c r="U146" s="6" t="str">
        <f t="shared" si="21"/>
        <v>Delayed</v>
      </c>
      <c r="V146" s="6" t="str">
        <f t="shared" si="22"/>
        <v>Normal</v>
      </c>
      <c r="W146" s="6" t="str">
        <f t="shared" si="23"/>
        <v>No</v>
      </c>
    </row>
    <row r="147" spans="1:23" x14ac:dyDescent="0.3">
      <c r="A147" s="9" t="s">
        <v>422</v>
      </c>
      <c r="B147" s="5">
        <v>45338</v>
      </c>
      <c r="C147" s="4" t="s">
        <v>325</v>
      </c>
      <c r="D147" s="4" t="s">
        <v>326</v>
      </c>
      <c r="E147" s="4" t="s">
        <v>270</v>
      </c>
      <c r="F147" s="4" t="s">
        <v>19</v>
      </c>
      <c r="G147" s="4" t="s">
        <v>20</v>
      </c>
      <c r="H147" s="4" t="s">
        <v>355</v>
      </c>
      <c r="I147" s="4">
        <v>4</v>
      </c>
      <c r="J147" s="4">
        <v>800</v>
      </c>
      <c r="K147" s="4">
        <v>5</v>
      </c>
      <c r="L147" s="4">
        <v>3040</v>
      </c>
      <c r="M147" s="4" t="s">
        <v>107</v>
      </c>
      <c r="N147" s="4" t="s">
        <v>37</v>
      </c>
      <c r="O147" s="4">
        <v>3</v>
      </c>
      <c r="P147" s="6">
        <f t="shared" si="16"/>
        <v>3200</v>
      </c>
      <c r="Q147" s="6">
        <f t="shared" si="17"/>
        <v>160</v>
      </c>
      <c r="R147" s="6">
        <f t="shared" si="18"/>
        <v>608</v>
      </c>
      <c r="S147" s="6" t="str">
        <f t="shared" si="19"/>
        <v>Feb</v>
      </c>
      <c r="T147" s="6">
        <f t="shared" si="20"/>
        <v>2024</v>
      </c>
      <c r="U147" s="6" t="str">
        <f t="shared" si="21"/>
        <v>Fast</v>
      </c>
      <c r="V147" s="6" t="str">
        <f t="shared" si="22"/>
        <v>Normal</v>
      </c>
      <c r="W147" s="6" t="str">
        <f t="shared" si="23"/>
        <v>No</v>
      </c>
    </row>
    <row r="148" spans="1:23" x14ac:dyDescent="0.3">
      <c r="A148" s="8" t="s">
        <v>423</v>
      </c>
      <c r="B148" s="3">
        <v>45416</v>
      </c>
      <c r="C148" s="2" t="s">
        <v>247</v>
      </c>
      <c r="D148" s="2" t="s">
        <v>248</v>
      </c>
      <c r="E148" s="2" t="s">
        <v>35</v>
      </c>
      <c r="F148" s="2" t="s">
        <v>19</v>
      </c>
      <c r="G148" s="2" t="s">
        <v>47</v>
      </c>
      <c r="H148" s="2" t="s">
        <v>424</v>
      </c>
      <c r="I148" s="2">
        <v>2</v>
      </c>
      <c r="J148" s="2">
        <v>800</v>
      </c>
      <c r="K148" s="2">
        <v>5</v>
      </c>
      <c r="L148" s="2">
        <v>1520</v>
      </c>
      <c r="M148" s="2" t="s">
        <v>71</v>
      </c>
      <c r="N148" s="2" t="s">
        <v>37</v>
      </c>
      <c r="O148" s="2">
        <v>10</v>
      </c>
      <c r="P148" s="6">
        <f t="shared" si="16"/>
        <v>1600</v>
      </c>
      <c r="Q148" s="6">
        <f t="shared" si="17"/>
        <v>80</v>
      </c>
      <c r="R148" s="6">
        <f t="shared" si="18"/>
        <v>304</v>
      </c>
      <c r="S148" s="6" t="str">
        <f t="shared" si="19"/>
        <v>May</v>
      </c>
      <c r="T148" s="6">
        <f t="shared" si="20"/>
        <v>2024</v>
      </c>
      <c r="U148" s="6" t="str">
        <f t="shared" si="21"/>
        <v>Delayed</v>
      </c>
      <c r="V148" s="6" t="str">
        <f t="shared" si="22"/>
        <v>Normal</v>
      </c>
      <c r="W148" s="6" t="str">
        <f t="shared" si="23"/>
        <v>Yes</v>
      </c>
    </row>
    <row r="149" spans="1:23" x14ac:dyDescent="0.3">
      <c r="A149" s="9" t="s">
        <v>425</v>
      </c>
      <c r="B149" s="5">
        <v>45457</v>
      </c>
      <c r="C149" s="4" t="s">
        <v>191</v>
      </c>
      <c r="D149" s="4" t="s">
        <v>192</v>
      </c>
      <c r="E149" s="4" t="s">
        <v>106</v>
      </c>
      <c r="F149" s="4" t="s">
        <v>19</v>
      </c>
      <c r="G149" s="4" t="s">
        <v>54</v>
      </c>
      <c r="H149" s="4" t="s">
        <v>415</v>
      </c>
      <c r="I149" s="4">
        <v>2</v>
      </c>
      <c r="J149" s="4">
        <v>320</v>
      </c>
      <c r="K149" s="4">
        <v>0</v>
      </c>
      <c r="L149" s="4">
        <v>640</v>
      </c>
      <c r="M149" s="4" t="s">
        <v>71</v>
      </c>
      <c r="N149" s="4" t="s">
        <v>64</v>
      </c>
      <c r="O149" s="4">
        <v>4</v>
      </c>
      <c r="P149" s="6">
        <f t="shared" si="16"/>
        <v>640</v>
      </c>
      <c r="Q149" s="6">
        <f t="shared" si="17"/>
        <v>0</v>
      </c>
      <c r="R149" s="6">
        <f t="shared" si="18"/>
        <v>128</v>
      </c>
      <c r="S149" s="6" t="str">
        <f t="shared" si="19"/>
        <v>Jun</v>
      </c>
      <c r="T149" s="6">
        <f t="shared" si="20"/>
        <v>2024</v>
      </c>
      <c r="U149" s="6" t="str">
        <f t="shared" si="21"/>
        <v>Delayed</v>
      </c>
      <c r="V149" s="6" t="str">
        <f t="shared" si="22"/>
        <v>Normal</v>
      </c>
      <c r="W149" s="6" t="str">
        <f t="shared" si="23"/>
        <v>No</v>
      </c>
    </row>
    <row r="150" spans="1:23" x14ac:dyDescent="0.3">
      <c r="A150" s="8" t="s">
        <v>426</v>
      </c>
      <c r="B150" s="3">
        <v>45423</v>
      </c>
      <c r="C150" s="2" t="s">
        <v>394</v>
      </c>
      <c r="D150" s="2" t="s">
        <v>395</v>
      </c>
      <c r="E150" s="2" t="s">
        <v>83</v>
      </c>
      <c r="F150" s="2" t="s">
        <v>19</v>
      </c>
      <c r="G150" s="2" t="s">
        <v>91</v>
      </c>
      <c r="H150" s="2" t="s">
        <v>320</v>
      </c>
      <c r="I150" s="2">
        <v>3</v>
      </c>
      <c r="J150" s="2">
        <v>28000</v>
      </c>
      <c r="K150" s="2">
        <v>0</v>
      </c>
      <c r="L150" s="2">
        <v>84000</v>
      </c>
      <c r="M150" s="2" t="s">
        <v>143</v>
      </c>
      <c r="N150" s="2" t="s">
        <v>37</v>
      </c>
      <c r="O150" s="2">
        <v>6</v>
      </c>
      <c r="P150" s="6">
        <f t="shared" si="16"/>
        <v>84000</v>
      </c>
      <c r="Q150" s="6">
        <f t="shared" si="17"/>
        <v>0</v>
      </c>
      <c r="R150" s="6">
        <f t="shared" si="18"/>
        <v>16800</v>
      </c>
      <c r="S150" s="6" t="str">
        <f t="shared" si="19"/>
        <v>May</v>
      </c>
      <c r="T150" s="6">
        <f t="shared" si="20"/>
        <v>2024</v>
      </c>
      <c r="U150" s="6" t="str">
        <f t="shared" si="21"/>
        <v>Delayed</v>
      </c>
      <c r="V150" s="6" t="str">
        <f t="shared" si="22"/>
        <v>High Value</v>
      </c>
      <c r="W150" s="6" t="str">
        <f t="shared" si="23"/>
        <v>Yes</v>
      </c>
    </row>
    <row r="151" spans="1:23" x14ac:dyDescent="0.3">
      <c r="A151" s="9" t="s">
        <v>427</v>
      </c>
      <c r="B151" s="5">
        <v>44931</v>
      </c>
      <c r="C151" s="4" t="s">
        <v>157</v>
      </c>
      <c r="D151" s="4" t="s">
        <v>158</v>
      </c>
      <c r="E151" s="4" t="s">
        <v>159</v>
      </c>
      <c r="F151" s="4" t="s">
        <v>19</v>
      </c>
      <c r="G151" s="4" t="s">
        <v>126</v>
      </c>
      <c r="H151" s="4" t="s">
        <v>222</v>
      </c>
      <c r="I151" s="4">
        <v>1</v>
      </c>
      <c r="J151" s="4">
        <v>650</v>
      </c>
      <c r="K151" s="4">
        <v>15</v>
      </c>
      <c r="L151" s="4">
        <v>552.5</v>
      </c>
      <c r="M151" s="4" t="s">
        <v>143</v>
      </c>
      <c r="N151" s="4" t="s">
        <v>37</v>
      </c>
      <c r="O151" s="4">
        <v>1</v>
      </c>
      <c r="P151" s="6">
        <f t="shared" si="16"/>
        <v>650</v>
      </c>
      <c r="Q151" s="6">
        <f t="shared" si="17"/>
        <v>97.5</v>
      </c>
      <c r="R151" s="6">
        <f t="shared" si="18"/>
        <v>110.5</v>
      </c>
      <c r="S151" s="6" t="str">
        <f t="shared" si="19"/>
        <v>Jan</v>
      </c>
      <c r="T151" s="6">
        <f t="shared" si="20"/>
        <v>2023</v>
      </c>
      <c r="U151" s="6" t="str">
        <f t="shared" si="21"/>
        <v>Fast</v>
      </c>
      <c r="V151" s="6" t="str">
        <f t="shared" si="22"/>
        <v>Normal</v>
      </c>
      <c r="W151" s="6" t="str">
        <f t="shared" si="23"/>
        <v>No</v>
      </c>
    </row>
    <row r="152" spans="1:23" x14ac:dyDescent="0.3">
      <c r="A152" s="8" t="s">
        <v>428</v>
      </c>
      <c r="B152" s="3">
        <v>45171</v>
      </c>
      <c r="C152" s="2" t="s">
        <v>118</v>
      </c>
      <c r="D152" s="2" t="s">
        <v>119</v>
      </c>
      <c r="E152" s="2" t="s">
        <v>35</v>
      </c>
      <c r="F152" s="2" t="s">
        <v>19</v>
      </c>
      <c r="G152" s="2" t="s">
        <v>20</v>
      </c>
      <c r="H152" s="2" t="s">
        <v>63</v>
      </c>
      <c r="I152" s="2">
        <v>4</v>
      </c>
      <c r="J152" s="2">
        <v>2800</v>
      </c>
      <c r="K152" s="2">
        <v>10</v>
      </c>
      <c r="L152" s="2">
        <v>10080</v>
      </c>
      <c r="M152" s="2" t="s">
        <v>43</v>
      </c>
      <c r="N152" s="2" t="s">
        <v>64</v>
      </c>
      <c r="O152" s="2">
        <v>2</v>
      </c>
      <c r="P152" s="6">
        <f t="shared" si="16"/>
        <v>11200</v>
      </c>
      <c r="Q152" s="6">
        <f t="shared" si="17"/>
        <v>1120</v>
      </c>
      <c r="R152" s="6">
        <f t="shared" si="18"/>
        <v>2016</v>
      </c>
      <c r="S152" s="6" t="str">
        <f t="shared" si="19"/>
        <v>Sep</v>
      </c>
      <c r="T152" s="6">
        <f t="shared" si="20"/>
        <v>2023</v>
      </c>
      <c r="U152" s="6" t="str">
        <f t="shared" si="21"/>
        <v>Fast</v>
      </c>
      <c r="V152" s="6" t="str">
        <f t="shared" si="22"/>
        <v>High Value</v>
      </c>
      <c r="W152" s="6" t="str">
        <f t="shared" si="23"/>
        <v>Yes</v>
      </c>
    </row>
    <row r="153" spans="1:23" x14ac:dyDescent="0.3">
      <c r="A153" s="9" t="s">
        <v>429</v>
      </c>
      <c r="B153" s="5">
        <v>45153</v>
      </c>
      <c r="C153" s="4" t="s">
        <v>310</v>
      </c>
      <c r="D153" s="4" t="s">
        <v>311</v>
      </c>
      <c r="E153" s="4" t="s">
        <v>253</v>
      </c>
      <c r="F153" s="4" t="s">
        <v>155</v>
      </c>
      <c r="G153" s="4" t="s">
        <v>47</v>
      </c>
      <c r="H153" s="4" t="s">
        <v>285</v>
      </c>
      <c r="I153" s="4">
        <v>4</v>
      </c>
      <c r="J153" s="4">
        <v>1800</v>
      </c>
      <c r="K153" s="4">
        <v>0</v>
      </c>
      <c r="L153" s="4">
        <v>7200</v>
      </c>
      <c r="M153" s="4" t="s">
        <v>43</v>
      </c>
      <c r="N153" s="4" t="s">
        <v>37</v>
      </c>
      <c r="O153" s="4">
        <v>9</v>
      </c>
      <c r="P153" s="6">
        <f t="shared" si="16"/>
        <v>7200</v>
      </c>
      <c r="Q153" s="6">
        <f t="shared" si="17"/>
        <v>0</v>
      </c>
      <c r="R153" s="6">
        <f t="shared" si="18"/>
        <v>1440</v>
      </c>
      <c r="S153" s="6" t="str">
        <f t="shared" si="19"/>
        <v>Aug</v>
      </c>
      <c r="T153" s="6">
        <f t="shared" si="20"/>
        <v>2023</v>
      </c>
      <c r="U153" s="6" t="str">
        <f t="shared" si="21"/>
        <v>Delayed</v>
      </c>
      <c r="V153" s="6" t="str">
        <f t="shared" si="22"/>
        <v>High Value</v>
      </c>
      <c r="W153" s="6" t="str">
        <f t="shared" si="23"/>
        <v>No</v>
      </c>
    </row>
    <row r="154" spans="1:23" x14ac:dyDescent="0.3">
      <c r="A154" s="8" t="s">
        <v>430</v>
      </c>
      <c r="B154" s="3">
        <v>45311</v>
      </c>
      <c r="C154" s="2" t="s">
        <v>394</v>
      </c>
      <c r="D154" s="2" t="s">
        <v>395</v>
      </c>
      <c r="E154" s="2" t="s">
        <v>83</v>
      </c>
      <c r="F154" s="2" t="s">
        <v>19</v>
      </c>
      <c r="G154" s="2" t="s">
        <v>69</v>
      </c>
      <c r="H154" s="2" t="s">
        <v>431</v>
      </c>
      <c r="I154" s="2">
        <v>4</v>
      </c>
      <c r="J154" s="2">
        <v>1400</v>
      </c>
      <c r="K154" s="2">
        <v>15</v>
      </c>
      <c r="L154" s="2">
        <v>4760</v>
      </c>
      <c r="M154" s="2" t="s">
        <v>22</v>
      </c>
      <c r="N154" s="2" t="s">
        <v>23</v>
      </c>
      <c r="O154" s="2">
        <v>0</v>
      </c>
      <c r="P154" s="6">
        <f t="shared" si="16"/>
        <v>5600</v>
      </c>
      <c r="Q154" s="6">
        <f t="shared" si="17"/>
        <v>840</v>
      </c>
      <c r="R154" s="6">
        <f t="shared" si="18"/>
        <v>952</v>
      </c>
      <c r="S154" s="6" t="str">
        <f t="shared" si="19"/>
        <v>Jan</v>
      </c>
      <c r="T154" s="6">
        <f t="shared" si="20"/>
        <v>2024</v>
      </c>
      <c r="U154" s="6" t="str">
        <f t="shared" si="21"/>
        <v>Fast</v>
      </c>
      <c r="V154" s="6" t="str">
        <f t="shared" si="22"/>
        <v>Normal</v>
      </c>
      <c r="W154" s="6" t="str">
        <f t="shared" si="23"/>
        <v>Yes</v>
      </c>
    </row>
    <row r="155" spans="1:23" x14ac:dyDescent="0.3">
      <c r="A155" s="9" t="s">
        <v>432</v>
      </c>
      <c r="B155" s="5">
        <v>44964</v>
      </c>
      <c r="C155" s="4" t="s">
        <v>207</v>
      </c>
      <c r="D155" s="4" t="s">
        <v>208</v>
      </c>
      <c r="E155" s="4" t="s">
        <v>68</v>
      </c>
      <c r="F155" s="4" t="s">
        <v>19</v>
      </c>
      <c r="G155" s="4" t="s">
        <v>54</v>
      </c>
      <c r="H155" s="4" t="s">
        <v>433</v>
      </c>
      <c r="I155" s="4">
        <v>2</v>
      </c>
      <c r="J155" s="4">
        <v>40</v>
      </c>
      <c r="K155" s="4">
        <v>20</v>
      </c>
      <c r="L155" s="4">
        <v>64</v>
      </c>
      <c r="M155" s="4" t="s">
        <v>143</v>
      </c>
      <c r="N155" s="4" t="s">
        <v>23</v>
      </c>
      <c r="O155" s="4">
        <v>0</v>
      </c>
      <c r="P155" s="6">
        <f t="shared" si="16"/>
        <v>80</v>
      </c>
      <c r="Q155" s="6">
        <f t="shared" si="17"/>
        <v>16</v>
      </c>
      <c r="R155" s="6">
        <f t="shared" si="18"/>
        <v>12.8</v>
      </c>
      <c r="S155" s="6" t="str">
        <f t="shared" si="19"/>
        <v>Feb</v>
      </c>
      <c r="T155" s="6">
        <f t="shared" si="20"/>
        <v>2023</v>
      </c>
      <c r="U155" s="6" t="str">
        <f t="shared" si="21"/>
        <v>Fast</v>
      </c>
      <c r="V155" s="6" t="str">
        <f t="shared" si="22"/>
        <v>Normal</v>
      </c>
      <c r="W155" s="6" t="str">
        <f t="shared" si="23"/>
        <v>No</v>
      </c>
    </row>
    <row r="156" spans="1:23" x14ac:dyDescent="0.3">
      <c r="A156" s="8" t="s">
        <v>434</v>
      </c>
      <c r="B156" s="3">
        <v>45280</v>
      </c>
      <c r="C156" s="2" t="s">
        <v>104</v>
      </c>
      <c r="D156" s="2" t="s">
        <v>105</v>
      </c>
      <c r="E156" s="2" t="s">
        <v>106</v>
      </c>
      <c r="F156" s="2" t="s">
        <v>19</v>
      </c>
      <c r="G156" s="2" t="s">
        <v>69</v>
      </c>
      <c r="H156" s="2" t="s">
        <v>435</v>
      </c>
      <c r="I156" s="2">
        <v>4</v>
      </c>
      <c r="J156" s="2">
        <v>3500</v>
      </c>
      <c r="K156" s="2">
        <v>10</v>
      </c>
      <c r="L156" s="2">
        <v>12600</v>
      </c>
      <c r="M156" s="2" t="s">
        <v>107</v>
      </c>
      <c r="N156" s="2" t="s">
        <v>64</v>
      </c>
      <c r="O156" s="2">
        <v>4</v>
      </c>
      <c r="P156" s="6">
        <f t="shared" si="16"/>
        <v>14000</v>
      </c>
      <c r="Q156" s="6">
        <f t="shared" si="17"/>
        <v>1400</v>
      </c>
      <c r="R156" s="6">
        <f t="shared" si="18"/>
        <v>2520</v>
      </c>
      <c r="S156" s="6" t="str">
        <f t="shared" si="19"/>
        <v>Dec</v>
      </c>
      <c r="T156" s="6">
        <f t="shared" si="20"/>
        <v>2023</v>
      </c>
      <c r="U156" s="6" t="str">
        <f t="shared" si="21"/>
        <v>Delayed</v>
      </c>
      <c r="V156" s="6" t="str">
        <f t="shared" si="22"/>
        <v>High Value</v>
      </c>
      <c r="W156" s="6" t="str">
        <f t="shared" si="23"/>
        <v>No</v>
      </c>
    </row>
    <row r="157" spans="1:23" x14ac:dyDescent="0.3">
      <c r="A157" s="9" t="s">
        <v>436</v>
      </c>
      <c r="B157" s="5">
        <v>44973</v>
      </c>
      <c r="C157" s="4" t="s">
        <v>437</v>
      </c>
      <c r="D157" s="4" t="s">
        <v>438</v>
      </c>
      <c r="E157" s="4" t="s">
        <v>79</v>
      </c>
      <c r="F157" s="4" t="s">
        <v>79</v>
      </c>
      <c r="G157" s="4" t="s">
        <v>54</v>
      </c>
      <c r="H157" s="4" t="s">
        <v>84</v>
      </c>
      <c r="I157" s="4">
        <v>3</v>
      </c>
      <c r="J157" s="4">
        <v>280</v>
      </c>
      <c r="K157" s="4">
        <v>20</v>
      </c>
      <c r="L157" s="4">
        <v>672</v>
      </c>
      <c r="M157" s="4" t="s">
        <v>22</v>
      </c>
      <c r="N157" s="4" t="s">
        <v>37</v>
      </c>
      <c r="O157" s="4">
        <v>7</v>
      </c>
      <c r="P157" s="6">
        <f t="shared" si="16"/>
        <v>840</v>
      </c>
      <c r="Q157" s="6">
        <f t="shared" si="17"/>
        <v>168</v>
      </c>
      <c r="R157" s="6">
        <f t="shared" si="18"/>
        <v>134.4</v>
      </c>
      <c r="S157" s="6" t="str">
        <f t="shared" si="19"/>
        <v>Feb</v>
      </c>
      <c r="T157" s="6">
        <f t="shared" si="20"/>
        <v>2023</v>
      </c>
      <c r="U157" s="6" t="str">
        <f t="shared" si="21"/>
        <v>Delayed</v>
      </c>
      <c r="V157" s="6" t="str">
        <f t="shared" si="22"/>
        <v>Normal</v>
      </c>
      <c r="W157" s="6" t="str">
        <f t="shared" si="23"/>
        <v>No</v>
      </c>
    </row>
    <row r="158" spans="1:23" x14ac:dyDescent="0.3">
      <c r="A158" s="8" t="s">
        <v>439</v>
      </c>
      <c r="B158" s="3">
        <v>44936</v>
      </c>
      <c r="C158" s="2" t="s">
        <v>437</v>
      </c>
      <c r="D158" s="2" t="s">
        <v>438</v>
      </c>
      <c r="E158" s="2" t="s">
        <v>79</v>
      </c>
      <c r="F158" s="2" t="s">
        <v>79</v>
      </c>
      <c r="G158" s="2" t="s">
        <v>149</v>
      </c>
      <c r="H158" s="2" t="s">
        <v>342</v>
      </c>
      <c r="I158" s="2">
        <v>3</v>
      </c>
      <c r="J158" s="2">
        <v>599</v>
      </c>
      <c r="K158" s="2">
        <v>0</v>
      </c>
      <c r="L158" s="2">
        <v>1797</v>
      </c>
      <c r="M158" s="2" t="s">
        <v>71</v>
      </c>
      <c r="N158" s="2" t="s">
        <v>37</v>
      </c>
      <c r="O158" s="2">
        <v>7</v>
      </c>
      <c r="P158" s="6">
        <f t="shared" si="16"/>
        <v>1797</v>
      </c>
      <c r="Q158" s="6">
        <f t="shared" si="17"/>
        <v>0</v>
      </c>
      <c r="R158" s="6">
        <f t="shared" si="18"/>
        <v>359.40000000000003</v>
      </c>
      <c r="S158" s="6" t="str">
        <f t="shared" si="19"/>
        <v>Jan</v>
      </c>
      <c r="T158" s="6">
        <f t="shared" si="20"/>
        <v>2023</v>
      </c>
      <c r="U158" s="6" t="str">
        <f t="shared" si="21"/>
        <v>Delayed</v>
      </c>
      <c r="V158" s="6" t="str">
        <f t="shared" si="22"/>
        <v>Normal</v>
      </c>
      <c r="W158" s="6" t="str">
        <f t="shared" si="23"/>
        <v>No</v>
      </c>
    </row>
    <row r="159" spans="1:23" x14ac:dyDescent="0.3">
      <c r="A159" s="9" t="s">
        <v>440</v>
      </c>
      <c r="B159" s="5">
        <v>45064</v>
      </c>
      <c r="C159" s="4" t="s">
        <v>441</v>
      </c>
      <c r="D159" s="4" t="s">
        <v>442</v>
      </c>
      <c r="E159" s="4" t="s">
        <v>41</v>
      </c>
      <c r="F159" s="4" t="s">
        <v>19</v>
      </c>
      <c r="G159" s="4" t="s">
        <v>47</v>
      </c>
      <c r="H159" s="4" t="s">
        <v>443</v>
      </c>
      <c r="I159" s="4">
        <v>3</v>
      </c>
      <c r="J159" s="4">
        <v>350</v>
      </c>
      <c r="K159" s="4">
        <v>0</v>
      </c>
      <c r="L159" s="4">
        <v>1050</v>
      </c>
      <c r="M159" s="4" t="s">
        <v>43</v>
      </c>
      <c r="N159" s="4" t="s">
        <v>37</v>
      </c>
      <c r="O159" s="4">
        <v>1</v>
      </c>
      <c r="P159" s="6">
        <f t="shared" si="16"/>
        <v>1050</v>
      </c>
      <c r="Q159" s="6">
        <f t="shared" si="17"/>
        <v>0</v>
      </c>
      <c r="R159" s="6">
        <f t="shared" si="18"/>
        <v>210</v>
      </c>
      <c r="S159" s="6" t="str">
        <f t="shared" si="19"/>
        <v>May</v>
      </c>
      <c r="T159" s="6">
        <f t="shared" si="20"/>
        <v>2023</v>
      </c>
      <c r="U159" s="6" t="str">
        <f t="shared" si="21"/>
        <v>Fast</v>
      </c>
      <c r="V159" s="6" t="str">
        <f t="shared" si="22"/>
        <v>Normal</v>
      </c>
      <c r="W159" s="6" t="str">
        <f t="shared" si="23"/>
        <v>No</v>
      </c>
    </row>
    <row r="160" spans="1:23" x14ac:dyDescent="0.3">
      <c r="A160" s="8" t="s">
        <v>444</v>
      </c>
      <c r="B160" s="3">
        <v>44988</v>
      </c>
      <c r="C160" s="2" t="s">
        <v>199</v>
      </c>
      <c r="D160" s="2" t="s">
        <v>200</v>
      </c>
      <c r="E160" s="2" t="s">
        <v>90</v>
      </c>
      <c r="F160" s="2" t="s">
        <v>19</v>
      </c>
      <c r="G160" s="2" t="s">
        <v>20</v>
      </c>
      <c r="H160" s="2" t="s">
        <v>21</v>
      </c>
      <c r="I160" s="2">
        <v>3</v>
      </c>
      <c r="J160" s="2">
        <v>550</v>
      </c>
      <c r="K160" s="2">
        <v>5</v>
      </c>
      <c r="L160" s="2">
        <v>1567.5</v>
      </c>
      <c r="M160" s="2" t="s">
        <v>43</v>
      </c>
      <c r="N160" s="2" t="s">
        <v>37</v>
      </c>
      <c r="O160" s="2">
        <v>1</v>
      </c>
      <c r="P160" s="6">
        <f t="shared" si="16"/>
        <v>1650</v>
      </c>
      <c r="Q160" s="6">
        <f t="shared" si="17"/>
        <v>82.5</v>
      </c>
      <c r="R160" s="6">
        <f t="shared" si="18"/>
        <v>313.5</v>
      </c>
      <c r="S160" s="6" t="str">
        <f t="shared" si="19"/>
        <v>Mar</v>
      </c>
      <c r="T160" s="6">
        <f t="shared" si="20"/>
        <v>2023</v>
      </c>
      <c r="U160" s="6" t="str">
        <f t="shared" si="21"/>
        <v>Fast</v>
      </c>
      <c r="V160" s="6" t="str">
        <f t="shared" si="22"/>
        <v>Normal</v>
      </c>
      <c r="W160" s="6" t="str">
        <f t="shared" si="23"/>
        <v>No</v>
      </c>
    </row>
    <row r="161" spans="1:23" x14ac:dyDescent="0.3">
      <c r="A161" s="9" t="s">
        <v>445</v>
      </c>
      <c r="B161" s="5">
        <v>45365</v>
      </c>
      <c r="C161" s="4" t="s">
        <v>294</v>
      </c>
      <c r="D161" s="4" t="s">
        <v>295</v>
      </c>
      <c r="E161" s="4" t="s">
        <v>52</v>
      </c>
      <c r="F161" s="4" t="s">
        <v>53</v>
      </c>
      <c r="G161" s="4" t="s">
        <v>149</v>
      </c>
      <c r="H161" s="4" t="s">
        <v>446</v>
      </c>
      <c r="I161" s="4">
        <v>4</v>
      </c>
      <c r="J161" s="4">
        <v>449</v>
      </c>
      <c r="K161" s="4">
        <v>5</v>
      </c>
      <c r="L161" s="4">
        <v>1706.2</v>
      </c>
      <c r="M161" s="4" t="s">
        <v>71</v>
      </c>
      <c r="N161" s="4" t="s">
        <v>37</v>
      </c>
      <c r="O161" s="4">
        <v>2</v>
      </c>
      <c r="P161" s="6">
        <f t="shared" si="16"/>
        <v>1796</v>
      </c>
      <c r="Q161" s="6">
        <f t="shared" si="17"/>
        <v>89.800000000000011</v>
      </c>
      <c r="R161" s="6">
        <f t="shared" si="18"/>
        <v>341.24</v>
      </c>
      <c r="S161" s="6" t="str">
        <f t="shared" si="19"/>
        <v>Mar</v>
      </c>
      <c r="T161" s="6">
        <f t="shared" si="20"/>
        <v>2024</v>
      </c>
      <c r="U161" s="6" t="str">
        <f t="shared" si="21"/>
        <v>Fast</v>
      </c>
      <c r="V161" s="6" t="str">
        <f t="shared" si="22"/>
        <v>Normal</v>
      </c>
      <c r="W161" s="6" t="str">
        <f t="shared" si="23"/>
        <v>No</v>
      </c>
    </row>
    <row r="162" spans="1:23" x14ac:dyDescent="0.3">
      <c r="A162" s="8" t="s">
        <v>447</v>
      </c>
      <c r="B162" s="3">
        <v>45408</v>
      </c>
      <c r="C162" s="2" t="s">
        <v>448</v>
      </c>
      <c r="D162" s="2" t="s">
        <v>449</v>
      </c>
      <c r="E162" s="2" t="s">
        <v>27</v>
      </c>
      <c r="F162" s="2" t="s">
        <v>19</v>
      </c>
      <c r="G162" s="2" t="s">
        <v>28</v>
      </c>
      <c r="H162" s="2" t="s">
        <v>29</v>
      </c>
      <c r="I162" s="2">
        <v>4</v>
      </c>
      <c r="J162" s="2">
        <v>1200</v>
      </c>
      <c r="K162" s="2">
        <v>15</v>
      </c>
      <c r="L162" s="2">
        <v>4080</v>
      </c>
      <c r="M162" s="2" t="s">
        <v>71</v>
      </c>
      <c r="N162" s="2" t="s">
        <v>37</v>
      </c>
      <c r="O162" s="2">
        <v>2</v>
      </c>
      <c r="P162" s="6">
        <f t="shared" si="16"/>
        <v>4800</v>
      </c>
      <c r="Q162" s="6">
        <f t="shared" si="17"/>
        <v>720</v>
      </c>
      <c r="R162" s="6">
        <f t="shared" si="18"/>
        <v>816</v>
      </c>
      <c r="S162" s="6" t="str">
        <f t="shared" si="19"/>
        <v>Apr</v>
      </c>
      <c r="T162" s="6">
        <f t="shared" si="20"/>
        <v>2024</v>
      </c>
      <c r="U162" s="6" t="str">
        <f t="shared" si="21"/>
        <v>Fast</v>
      </c>
      <c r="V162" s="6" t="str">
        <f t="shared" si="22"/>
        <v>Normal</v>
      </c>
      <c r="W162" s="6" t="str">
        <f t="shared" si="23"/>
        <v>No</v>
      </c>
    </row>
    <row r="163" spans="1:23" x14ac:dyDescent="0.3">
      <c r="A163" s="9" t="s">
        <v>450</v>
      </c>
      <c r="B163" s="5">
        <v>45012</v>
      </c>
      <c r="C163" s="4" t="s">
        <v>61</v>
      </c>
      <c r="D163" s="4" t="s">
        <v>62</v>
      </c>
      <c r="E163" s="4" t="s">
        <v>35</v>
      </c>
      <c r="F163" s="4" t="s">
        <v>19</v>
      </c>
      <c r="G163" s="4" t="s">
        <v>47</v>
      </c>
      <c r="H163" s="4" t="s">
        <v>102</v>
      </c>
      <c r="I163" s="4">
        <v>4</v>
      </c>
      <c r="J163" s="4">
        <v>2200</v>
      </c>
      <c r="K163" s="4">
        <v>20</v>
      </c>
      <c r="L163" s="4">
        <v>7040</v>
      </c>
      <c r="M163" s="4" t="s">
        <v>43</v>
      </c>
      <c r="N163" s="4" t="s">
        <v>37</v>
      </c>
      <c r="O163" s="4">
        <v>5</v>
      </c>
      <c r="P163" s="6">
        <f t="shared" si="16"/>
        <v>8800</v>
      </c>
      <c r="Q163" s="6">
        <f t="shared" si="17"/>
        <v>1760</v>
      </c>
      <c r="R163" s="6">
        <f t="shared" si="18"/>
        <v>1408</v>
      </c>
      <c r="S163" s="6" t="str">
        <f t="shared" si="19"/>
        <v>Mar</v>
      </c>
      <c r="T163" s="6">
        <f t="shared" si="20"/>
        <v>2023</v>
      </c>
      <c r="U163" s="6" t="str">
        <f t="shared" si="21"/>
        <v>Delayed</v>
      </c>
      <c r="V163" s="6" t="str">
        <f t="shared" si="22"/>
        <v>High Value</v>
      </c>
      <c r="W163" s="6" t="str">
        <f t="shared" si="23"/>
        <v>No</v>
      </c>
    </row>
    <row r="164" spans="1:23" x14ac:dyDescent="0.3">
      <c r="A164" s="8" t="s">
        <v>451</v>
      </c>
      <c r="B164" s="3">
        <v>44999</v>
      </c>
      <c r="C164" s="2" t="s">
        <v>25</v>
      </c>
      <c r="D164" s="2" t="s">
        <v>26</v>
      </c>
      <c r="E164" s="2" t="s">
        <v>27</v>
      </c>
      <c r="F164" s="2" t="s">
        <v>19</v>
      </c>
      <c r="G164" s="2" t="s">
        <v>20</v>
      </c>
      <c r="H164" s="2" t="s">
        <v>202</v>
      </c>
      <c r="I164" s="2">
        <v>2</v>
      </c>
      <c r="J164" s="2">
        <v>650</v>
      </c>
      <c r="K164" s="2">
        <v>10</v>
      </c>
      <c r="L164" s="2">
        <v>1170</v>
      </c>
      <c r="M164" s="2" t="s">
        <v>43</v>
      </c>
      <c r="N164" s="2" t="s">
        <v>64</v>
      </c>
      <c r="O164" s="2">
        <v>1</v>
      </c>
      <c r="P164" s="6">
        <f t="shared" si="16"/>
        <v>1300</v>
      </c>
      <c r="Q164" s="6">
        <f t="shared" si="17"/>
        <v>130</v>
      </c>
      <c r="R164" s="6">
        <f t="shared" si="18"/>
        <v>234</v>
      </c>
      <c r="S164" s="6" t="str">
        <f t="shared" si="19"/>
        <v>Mar</v>
      </c>
      <c r="T164" s="6">
        <f t="shared" si="20"/>
        <v>2023</v>
      </c>
      <c r="U164" s="6" t="str">
        <f t="shared" si="21"/>
        <v>Fast</v>
      </c>
      <c r="V164" s="6" t="str">
        <f t="shared" si="22"/>
        <v>Normal</v>
      </c>
      <c r="W164" s="6" t="str">
        <f t="shared" si="23"/>
        <v>No</v>
      </c>
    </row>
    <row r="165" spans="1:23" x14ac:dyDescent="0.3">
      <c r="A165" s="9" t="s">
        <v>452</v>
      </c>
      <c r="B165" s="5">
        <v>45469</v>
      </c>
      <c r="C165" s="4" t="s">
        <v>310</v>
      </c>
      <c r="D165" s="4" t="s">
        <v>311</v>
      </c>
      <c r="E165" s="4" t="s">
        <v>253</v>
      </c>
      <c r="F165" s="4" t="s">
        <v>155</v>
      </c>
      <c r="G165" s="4" t="s">
        <v>149</v>
      </c>
      <c r="H165" s="4" t="s">
        <v>256</v>
      </c>
      <c r="I165" s="4">
        <v>3</v>
      </c>
      <c r="J165" s="4">
        <v>220</v>
      </c>
      <c r="K165" s="4">
        <v>5</v>
      </c>
      <c r="L165" s="4">
        <v>627</v>
      </c>
      <c r="M165" s="4" t="s">
        <v>43</v>
      </c>
      <c r="N165" s="4" t="s">
        <v>37</v>
      </c>
      <c r="O165" s="4">
        <v>8</v>
      </c>
      <c r="P165" s="6">
        <f t="shared" si="16"/>
        <v>660</v>
      </c>
      <c r="Q165" s="6">
        <f t="shared" si="17"/>
        <v>33</v>
      </c>
      <c r="R165" s="6">
        <f t="shared" si="18"/>
        <v>125.4</v>
      </c>
      <c r="S165" s="6" t="str">
        <f t="shared" si="19"/>
        <v>Jun</v>
      </c>
      <c r="T165" s="6">
        <f t="shared" si="20"/>
        <v>2024</v>
      </c>
      <c r="U165" s="6" t="str">
        <f t="shared" si="21"/>
        <v>Delayed</v>
      </c>
      <c r="V165" s="6" t="str">
        <f t="shared" si="22"/>
        <v>Normal</v>
      </c>
      <c r="W165" s="6" t="str">
        <f t="shared" si="23"/>
        <v>No</v>
      </c>
    </row>
    <row r="166" spans="1:23" x14ac:dyDescent="0.3">
      <c r="A166" s="8" t="s">
        <v>453</v>
      </c>
      <c r="B166" s="3">
        <v>45315</v>
      </c>
      <c r="C166" s="2" t="s">
        <v>390</v>
      </c>
      <c r="D166" s="2" t="s">
        <v>391</v>
      </c>
      <c r="E166" s="2" t="s">
        <v>176</v>
      </c>
      <c r="F166" s="2" t="s">
        <v>177</v>
      </c>
      <c r="G166" s="2" t="s">
        <v>69</v>
      </c>
      <c r="H166" s="2" t="s">
        <v>435</v>
      </c>
      <c r="I166" s="2">
        <v>4</v>
      </c>
      <c r="J166" s="2">
        <v>3500</v>
      </c>
      <c r="K166" s="2">
        <v>10</v>
      </c>
      <c r="L166" s="2">
        <v>12600</v>
      </c>
      <c r="M166" s="2" t="s">
        <v>143</v>
      </c>
      <c r="N166" s="2" t="s">
        <v>23</v>
      </c>
      <c r="O166" s="2">
        <v>0</v>
      </c>
      <c r="P166" s="6">
        <f t="shared" si="16"/>
        <v>14000</v>
      </c>
      <c r="Q166" s="6">
        <f t="shared" si="17"/>
        <v>1400</v>
      </c>
      <c r="R166" s="6">
        <f t="shared" si="18"/>
        <v>2520</v>
      </c>
      <c r="S166" s="6" t="str">
        <f t="shared" si="19"/>
        <v>Jan</v>
      </c>
      <c r="T166" s="6">
        <f t="shared" si="20"/>
        <v>2024</v>
      </c>
      <c r="U166" s="6" t="str">
        <f t="shared" si="21"/>
        <v>Fast</v>
      </c>
      <c r="V166" s="6" t="str">
        <f t="shared" si="22"/>
        <v>High Value</v>
      </c>
      <c r="W166" s="6" t="str">
        <f t="shared" si="23"/>
        <v>No</v>
      </c>
    </row>
    <row r="167" spans="1:23" x14ac:dyDescent="0.3">
      <c r="A167" s="9" t="s">
        <v>454</v>
      </c>
      <c r="B167" s="5">
        <v>45219</v>
      </c>
      <c r="C167" s="4" t="s">
        <v>382</v>
      </c>
      <c r="D167" s="4" t="s">
        <v>349</v>
      </c>
      <c r="E167" s="4" t="s">
        <v>35</v>
      </c>
      <c r="F167" s="4" t="s">
        <v>19</v>
      </c>
      <c r="G167" s="4" t="s">
        <v>91</v>
      </c>
      <c r="H167" s="4" t="s">
        <v>163</v>
      </c>
      <c r="I167" s="4">
        <v>2</v>
      </c>
      <c r="J167" s="4">
        <v>900</v>
      </c>
      <c r="K167" s="4">
        <v>0</v>
      </c>
      <c r="L167" s="4">
        <v>1800</v>
      </c>
      <c r="M167" s="4" t="s">
        <v>143</v>
      </c>
      <c r="N167" s="4" t="s">
        <v>37</v>
      </c>
      <c r="O167" s="4">
        <v>10</v>
      </c>
      <c r="P167" s="6">
        <f t="shared" si="16"/>
        <v>1800</v>
      </c>
      <c r="Q167" s="6">
        <f t="shared" si="17"/>
        <v>0</v>
      </c>
      <c r="R167" s="6">
        <f t="shared" si="18"/>
        <v>360</v>
      </c>
      <c r="S167" s="6" t="str">
        <f t="shared" si="19"/>
        <v>Oct</v>
      </c>
      <c r="T167" s="6">
        <f t="shared" si="20"/>
        <v>2023</v>
      </c>
      <c r="U167" s="6" t="str">
        <f t="shared" si="21"/>
        <v>Delayed</v>
      </c>
      <c r="V167" s="6" t="str">
        <f t="shared" si="22"/>
        <v>Normal</v>
      </c>
      <c r="W167" s="6" t="str">
        <f t="shared" si="23"/>
        <v>No</v>
      </c>
    </row>
    <row r="168" spans="1:23" x14ac:dyDescent="0.3">
      <c r="A168" s="8" t="s">
        <v>455</v>
      </c>
      <c r="B168" s="3">
        <v>45433</v>
      </c>
      <c r="C168" s="2" t="s">
        <v>330</v>
      </c>
      <c r="D168" s="2" t="s">
        <v>331</v>
      </c>
      <c r="E168" s="2" t="s">
        <v>176</v>
      </c>
      <c r="F168" s="2" t="s">
        <v>177</v>
      </c>
      <c r="G168" s="2" t="s">
        <v>126</v>
      </c>
      <c r="H168" s="2" t="s">
        <v>222</v>
      </c>
      <c r="I168" s="2">
        <v>2</v>
      </c>
      <c r="J168" s="2">
        <v>650</v>
      </c>
      <c r="K168" s="2">
        <v>0</v>
      </c>
      <c r="L168" s="2">
        <v>1300</v>
      </c>
      <c r="M168" s="2" t="s">
        <v>71</v>
      </c>
      <c r="N168" s="2" t="s">
        <v>37</v>
      </c>
      <c r="O168" s="2">
        <v>8</v>
      </c>
      <c r="P168" s="6">
        <f t="shared" si="16"/>
        <v>1300</v>
      </c>
      <c r="Q168" s="6">
        <f t="shared" si="17"/>
        <v>0</v>
      </c>
      <c r="R168" s="6">
        <f t="shared" si="18"/>
        <v>260</v>
      </c>
      <c r="S168" s="6" t="str">
        <f t="shared" si="19"/>
        <v>May</v>
      </c>
      <c r="T168" s="6">
        <f t="shared" si="20"/>
        <v>2024</v>
      </c>
      <c r="U168" s="6" t="str">
        <f t="shared" si="21"/>
        <v>Delayed</v>
      </c>
      <c r="V168" s="6" t="str">
        <f t="shared" si="22"/>
        <v>Normal</v>
      </c>
      <c r="W168" s="6" t="str">
        <f t="shared" si="23"/>
        <v>No</v>
      </c>
    </row>
    <row r="169" spans="1:23" x14ac:dyDescent="0.3">
      <c r="A169" s="9" t="s">
        <v>456</v>
      </c>
      <c r="B169" s="5">
        <v>44980</v>
      </c>
      <c r="C169" s="4" t="s">
        <v>50</v>
      </c>
      <c r="D169" s="4" t="s">
        <v>51</v>
      </c>
      <c r="E169" s="4" t="s">
        <v>52</v>
      </c>
      <c r="F169" s="4" t="s">
        <v>53</v>
      </c>
      <c r="G169" s="4" t="s">
        <v>149</v>
      </c>
      <c r="H169" s="4" t="s">
        <v>457</v>
      </c>
      <c r="I169" s="4">
        <v>4</v>
      </c>
      <c r="J169" s="4">
        <v>85</v>
      </c>
      <c r="K169" s="4">
        <v>5</v>
      </c>
      <c r="L169" s="4">
        <v>323</v>
      </c>
      <c r="M169" s="4" t="s">
        <v>30</v>
      </c>
      <c r="N169" s="4" t="s">
        <v>64</v>
      </c>
      <c r="O169" s="4">
        <v>5</v>
      </c>
      <c r="P169" s="6">
        <f t="shared" si="16"/>
        <v>340</v>
      </c>
      <c r="Q169" s="6">
        <f t="shared" si="17"/>
        <v>17</v>
      </c>
      <c r="R169" s="6">
        <f t="shared" si="18"/>
        <v>64.600000000000009</v>
      </c>
      <c r="S169" s="6" t="str">
        <f t="shared" si="19"/>
        <v>Feb</v>
      </c>
      <c r="T169" s="6">
        <f t="shared" si="20"/>
        <v>2023</v>
      </c>
      <c r="U169" s="6" t="str">
        <f t="shared" si="21"/>
        <v>Delayed</v>
      </c>
      <c r="V169" s="6" t="str">
        <f t="shared" si="22"/>
        <v>Normal</v>
      </c>
      <c r="W169" s="6" t="str">
        <f t="shared" si="23"/>
        <v>No</v>
      </c>
    </row>
    <row r="170" spans="1:23" x14ac:dyDescent="0.3">
      <c r="A170" s="8" t="s">
        <v>458</v>
      </c>
      <c r="B170" s="3">
        <v>45004</v>
      </c>
      <c r="C170" s="2" t="s">
        <v>459</v>
      </c>
      <c r="D170" s="2" t="s">
        <v>460</v>
      </c>
      <c r="E170" s="2" t="s">
        <v>265</v>
      </c>
      <c r="F170" s="2" t="s">
        <v>266</v>
      </c>
      <c r="G170" s="2" t="s">
        <v>28</v>
      </c>
      <c r="H170" s="2" t="s">
        <v>98</v>
      </c>
      <c r="I170" s="2">
        <v>4</v>
      </c>
      <c r="J170" s="2">
        <v>220</v>
      </c>
      <c r="K170" s="2">
        <v>0</v>
      </c>
      <c r="L170" s="2">
        <v>880</v>
      </c>
      <c r="M170" s="2" t="s">
        <v>22</v>
      </c>
      <c r="N170" s="2" t="s">
        <v>37</v>
      </c>
      <c r="O170" s="2">
        <v>7</v>
      </c>
      <c r="P170" s="6">
        <f t="shared" si="16"/>
        <v>880</v>
      </c>
      <c r="Q170" s="6">
        <f t="shared" si="17"/>
        <v>0</v>
      </c>
      <c r="R170" s="6">
        <f t="shared" si="18"/>
        <v>176</v>
      </c>
      <c r="S170" s="6" t="str">
        <f t="shared" si="19"/>
        <v>Mar</v>
      </c>
      <c r="T170" s="6">
        <f t="shared" si="20"/>
        <v>2023</v>
      </c>
      <c r="U170" s="6" t="str">
        <f t="shared" si="21"/>
        <v>Delayed</v>
      </c>
      <c r="V170" s="6" t="str">
        <f t="shared" si="22"/>
        <v>Normal</v>
      </c>
      <c r="W170" s="6" t="str">
        <f t="shared" si="23"/>
        <v>Yes</v>
      </c>
    </row>
    <row r="171" spans="1:23" x14ac:dyDescent="0.3">
      <c r="A171" s="9" t="s">
        <v>461</v>
      </c>
      <c r="B171" s="5">
        <v>45171</v>
      </c>
      <c r="C171" s="4" t="s">
        <v>258</v>
      </c>
      <c r="D171" s="4" t="s">
        <v>259</v>
      </c>
      <c r="E171" s="4" t="s">
        <v>260</v>
      </c>
      <c r="F171" s="4" t="s">
        <v>19</v>
      </c>
      <c r="G171" s="4" t="s">
        <v>28</v>
      </c>
      <c r="H171" s="4" t="s">
        <v>300</v>
      </c>
      <c r="I171" s="4">
        <v>4</v>
      </c>
      <c r="J171" s="4">
        <v>320</v>
      </c>
      <c r="K171" s="4">
        <v>0</v>
      </c>
      <c r="L171" s="4">
        <v>1280</v>
      </c>
      <c r="M171" s="4" t="s">
        <v>43</v>
      </c>
      <c r="N171" s="4" t="s">
        <v>31</v>
      </c>
      <c r="O171" s="4">
        <v>1</v>
      </c>
      <c r="P171" s="6">
        <f t="shared" si="16"/>
        <v>1280</v>
      </c>
      <c r="Q171" s="6">
        <f t="shared" si="17"/>
        <v>0</v>
      </c>
      <c r="R171" s="6">
        <f t="shared" si="18"/>
        <v>256</v>
      </c>
      <c r="S171" s="6" t="str">
        <f t="shared" si="19"/>
        <v>Sep</v>
      </c>
      <c r="T171" s="6">
        <f t="shared" si="20"/>
        <v>2023</v>
      </c>
      <c r="U171" s="6" t="str">
        <f t="shared" si="21"/>
        <v>Fast</v>
      </c>
      <c r="V171" s="6" t="str">
        <f t="shared" si="22"/>
        <v>Normal</v>
      </c>
      <c r="W171" s="6" t="str">
        <f t="shared" si="23"/>
        <v>Yes</v>
      </c>
    </row>
    <row r="172" spans="1:23" x14ac:dyDescent="0.3">
      <c r="A172" s="8" t="s">
        <v>462</v>
      </c>
      <c r="B172" s="3">
        <v>45340</v>
      </c>
      <c r="C172" s="2" t="s">
        <v>25</v>
      </c>
      <c r="D172" s="2" t="s">
        <v>26</v>
      </c>
      <c r="E172" s="2" t="s">
        <v>27</v>
      </c>
      <c r="F172" s="2" t="s">
        <v>19</v>
      </c>
      <c r="G172" s="2" t="s">
        <v>149</v>
      </c>
      <c r="H172" s="2" t="s">
        <v>463</v>
      </c>
      <c r="I172" s="2">
        <v>4</v>
      </c>
      <c r="J172" s="2">
        <v>380</v>
      </c>
      <c r="K172" s="2">
        <v>0</v>
      </c>
      <c r="L172" s="2">
        <v>1520</v>
      </c>
      <c r="M172" s="2" t="s">
        <v>107</v>
      </c>
      <c r="N172" s="2" t="s">
        <v>31</v>
      </c>
      <c r="O172" s="2">
        <v>4</v>
      </c>
      <c r="P172" s="6">
        <f t="shared" si="16"/>
        <v>1520</v>
      </c>
      <c r="Q172" s="6">
        <f t="shared" si="17"/>
        <v>0</v>
      </c>
      <c r="R172" s="6">
        <f t="shared" si="18"/>
        <v>304</v>
      </c>
      <c r="S172" s="6" t="str">
        <f t="shared" si="19"/>
        <v>Feb</v>
      </c>
      <c r="T172" s="6">
        <f t="shared" si="20"/>
        <v>2024</v>
      </c>
      <c r="U172" s="6" t="str">
        <f t="shared" si="21"/>
        <v>Delayed</v>
      </c>
      <c r="V172" s="6" t="str">
        <f t="shared" si="22"/>
        <v>Normal</v>
      </c>
      <c r="W172" s="6" t="str">
        <f t="shared" si="23"/>
        <v>Yes</v>
      </c>
    </row>
    <row r="173" spans="1:23" x14ac:dyDescent="0.3">
      <c r="A173" s="9" t="s">
        <v>464</v>
      </c>
      <c r="B173" s="5">
        <v>45391</v>
      </c>
      <c r="C173" s="4" t="s">
        <v>465</v>
      </c>
      <c r="D173" s="4" t="s">
        <v>466</v>
      </c>
      <c r="E173" s="4" t="s">
        <v>137</v>
      </c>
      <c r="F173" s="4" t="s">
        <v>19</v>
      </c>
      <c r="G173" s="4" t="s">
        <v>54</v>
      </c>
      <c r="H173" s="4" t="s">
        <v>467</v>
      </c>
      <c r="I173" s="4">
        <v>2</v>
      </c>
      <c r="J173" s="4">
        <v>220</v>
      </c>
      <c r="K173" s="4">
        <v>10</v>
      </c>
      <c r="L173" s="4">
        <v>396</v>
      </c>
      <c r="M173" s="4" t="s">
        <v>22</v>
      </c>
      <c r="N173" s="4" t="s">
        <v>23</v>
      </c>
      <c r="O173" s="4">
        <v>0</v>
      </c>
      <c r="P173" s="6">
        <f t="shared" si="16"/>
        <v>440</v>
      </c>
      <c r="Q173" s="6">
        <f t="shared" si="17"/>
        <v>44</v>
      </c>
      <c r="R173" s="6">
        <f t="shared" si="18"/>
        <v>79.2</v>
      </c>
      <c r="S173" s="6" t="str">
        <f t="shared" si="19"/>
        <v>Apr</v>
      </c>
      <c r="T173" s="6">
        <f t="shared" si="20"/>
        <v>2024</v>
      </c>
      <c r="U173" s="6" t="str">
        <f t="shared" si="21"/>
        <v>Fast</v>
      </c>
      <c r="V173" s="6" t="str">
        <f t="shared" si="22"/>
        <v>Normal</v>
      </c>
      <c r="W173" s="6" t="str">
        <f t="shared" si="23"/>
        <v>No</v>
      </c>
    </row>
    <row r="174" spans="1:23" x14ac:dyDescent="0.3">
      <c r="A174" s="8" t="s">
        <v>468</v>
      </c>
      <c r="B174" s="3">
        <v>45286</v>
      </c>
      <c r="C174" s="2" t="s">
        <v>465</v>
      </c>
      <c r="D174" s="2" t="s">
        <v>466</v>
      </c>
      <c r="E174" s="2" t="s">
        <v>137</v>
      </c>
      <c r="F174" s="2" t="s">
        <v>19</v>
      </c>
      <c r="G174" s="2" t="s">
        <v>91</v>
      </c>
      <c r="H174" s="2" t="s">
        <v>163</v>
      </c>
      <c r="I174" s="2">
        <v>2</v>
      </c>
      <c r="J174" s="2">
        <v>900</v>
      </c>
      <c r="K174" s="2">
        <v>15</v>
      </c>
      <c r="L174" s="2">
        <v>1530</v>
      </c>
      <c r="M174" s="2" t="s">
        <v>43</v>
      </c>
      <c r="N174" s="2" t="s">
        <v>37</v>
      </c>
      <c r="O174" s="2">
        <v>6</v>
      </c>
      <c r="P174" s="6">
        <f t="shared" si="16"/>
        <v>1800</v>
      </c>
      <c r="Q174" s="6">
        <f t="shared" si="17"/>
        <v>270</v>
      </c>
      <c r="R174" s="6">
        <f t="shared" si="18"/>
        <v>306</v>
      </c>
      <c r="S174" s="6" t="str">
        <f t="shared" si="19"/>
        <v>Dec</v>
      </c>
      <c r="T174" s="6">
        <f t="shared" si="20"/>
        <v>2023</v>
      </c>
      <c r="U174" s="6" t="str">
        <f t="shared" si="21"/>
        <v>Delayed</v>
      </c>
      <c r="V174" s="6" t="str">
        <f t="shared" si="22"/>
        <v>Normal</v>
      </c>
      <c r="W174" s="6" t="str">
        <f t="shared" si="23"/>
        <v>No</v>
      </c>
    </row>
    <row r="175" spans="1:23" x14ac:dyDescent="0.3">
      <c r="A175" s="9" t="s">
        <v>469</v>
      </c>
      <c r="B175" s="5">
        <v>45260</v>
      </c>
      <c r="C175" s="4" t="s">
        <v>325</v>
      </c>
      <c r="D175" s="4" t="s">
        <v>326</v>
      </c>
      <c r="E175" s="4" t="s">
        <v>270</v>
      </c>
      <c r="F175" s="4" t="s">
        <v>19</v>
      </c>
      <c r="G175" s="4" t="s">
        <v>91</v>
      </c>
      <c r="H175" s="4" t="s">
        <v>291</v>
      </c>
      <c r="I175" s="4">
        <v>2</v>
      </c>
      <c r="J175" s="4">
        <v>45000</v>
      </c>
      <c r="K175" s="4">
        <v>0</v>
      </c>
      <c r="L175" s="4">
        <v>90000</v>
      </c>
      <c r="M175" s="4" t="s">
        <v>143</v>
      </c>
      <c r="N175" s="4" t="s">
        <v>37</v>
      </c>
      <c r="O175" s="4">
        <v>1</v>
      </c>
      <c r="P175" s="6">
        <f t="shared" si="16"/>
        <v>90000</v>
      </c>
      <c r="Q175" s="6">
        <f t="shared" si="17"/>
        <v>0</v>
      </c>
      <c r="R175" s="6">
        <f t="shared" si="18"/>
        <v>18000</v>
      </c>
      <c r="S175" s="6" t="str">
        <f t="shared" si="19"/>
        <v>Nov</v>
      </c>
      <c r="T175" s="6">
        <f t="shared" si="20"/>
        <v>2023</v>
      </c>
      <c r="U175" s="6" t="str">
        <f t="shared" si="21"/>
        <v>Fast</v>
      </c>
      <c r="V175" s="6" t="str">
        <f t="shared" si="22"/>
        <v>High Value</v>
      </c>
      <c r="W175" s="6" t="str">
        <f t="shared" si="23"/>
        <v>No</v>
      </c>
    </row>
    <row r="176" spans="1:23" x14ac:dyDescent="0.3">
      <c r="A176" s="8" t="s">
        <v>470</v>
      </c>
      <c r="B176" s="3">
        <v>45426</v>
      </c>
      <c r="C176" s="2" t="s">
        <v>314</v>
      </c>
      <c r="D176" s="2" t="s">
        <v>315</v>
      </c>
      <c r="E176" s="2" t="s">
        <v>260</v>
      </c>
      <c r="F176" s="2" t="s">
        <v>19</v>
      </c>
      <c r="G176" s="2" t="s">
        <v>149</v>
      </c>
      <c r="H176" s="2" t="s">
        <v>182</v>
      </c>
      <c r="I176" s="2">
        <v>4</v>
      </c>
      <c r="J176" s="2">
        <v>180</v>
      </c>
      <c r="K176" s="2">
        <v>5</v>
      </c>
      <c r="L176" s="2">
        <v>684</v>
      </c>
      <c r="M176" s="2" t="s">
        <v>43</v>
      </c>
      <c r="N176" s="2" t="s">
        <v>37</v>
      </c>
      <c r="O176" s="2">
        <v>9</v>
      </c>
      <c r="P176" s="6">
        <f t="shared" si="16"/>
        <v>720</v>
      </c>
      <c r="Q176" s="6">
        <f t="shared" si="17"/>
        <v>36</v>
      </c>
      <c r="R176" s="6">
        <f t="shared" si="18"/>
        <v>136.80000000000001</v>
      </c>
      <c r="S176" s="6" t="str">
        <f t="shared" si="19"/>
        <v>May</v>
      </c>
      <c r="T176" s="6">
        <f t="shared" si="20"/>
        <v>2024</v>
      </c>
      <c r="U176" s="6" t="str">
        <f t="shared" si="21"/>
        <v>Delayed</v>
      </c>
      <c r="V176" s="6" t="str">
        <f t="shared" si="22"/>
        <v>Normal</v>
      </c>
      <c r="W176" s="6" t="str">
        <f t="shared" si="23"/>
        <v>No</v>
      </c>
    </row>
    <row r="177" spans="1:23" x14ac:dyDescent="0.3">
      <c r="A177" s="9" t="s">
        <v>471</v>
      </c>
      <c r="B177" s="5">
        <v>45468</v>
      </c>
      <c r="C177" s="4" t="s">
        <v>472</v>
      </c>
      <c r="D177" s="4" t="s">
        <v>473</v>
      </c>
      <c r="E177" s="4" t="s">
        <v>133</v>
      </c>
      <c r="F177" s="4" t="s">
        <v>19</v>
      </c>
      <c r="G177" s="4" t="s">
        <v>47</v>
      </c>
      <c r="H177" s="4" t="s">
        <v>48</v>
      </c>
      <c r="I177" s="4">
        <v>2</v>
      </c>
      <c r="J177" s="4">
        <v>320</v>
      </c>
      <c r="K177" s="4">
        <v>15</v>
      </c>
      <c r="L177" s="4">
        <v>544</v>
      </c>
      <c r="M177" s="4" t="s">
        <v>30</v>
      </c>
      <c r="N177" s="4" t="s">
        <v>37</v>
      </c>
      <c r="O177" s="4">
        <v>4</v>
      </c>
      <c r="P177" s="6">
        <f t="shared" si="16"/>
        <v>640</v>
      </c>
      <c r="Q177" s="6">
        <f t="shared" si="17"/>
        <v>96</v>
      </c>
      <c r="R177" s="6">
        <f t="shared" si="18"/>
        <v>108.80000000000001</v>
      </c>
      <c r="S177" s="6" t="str">
        <f t="shared" si="19"/>
        <v>Jun</v>
      </c>
      <c r="T177" s="6">
        <f t="shared" si="20"/>
        <v>2024</v>
      </c>
      <c r="U177" s="6" t="str">
        <f t="shared" si="21"/>
        <v>Delayed</v>
      </c>
      <c r="V177" s="6" t="str">
        <f t="shared" si="22"/>
        <v>Normal</v>
      </c>
      <c r="W177" s="6" t="str">
        <f t="shared" si="23"/>
        <v>No</v>
      </c>
    </row>
    <row r="178" spans="1:23" x14ac:dyDescent="0.3">
      <c r="A178" s="8" t="s">
        <v>474</v>
      </c>
      <c r="B178" s="3">
        <v>45352</v>
      </c>
      <c r="C178" s="2" t="s">
        <v>187</v>
      </c>
      <c r="D178" s="2" t="s">
        <v>188</v>
      </c>
      <c r="E178" s="2" t="s">
        <v>90</v>
      </c>
      <c r="F178" s="2" t="s">
        <v>19</v>
      </c>
      <c r="G178" s="2" t="s">
        <v>126</v>
      </c>
      <c r="H178" s="2" t="s">
        <v>127</v>
      </c>
      <c r="I178" s="2">
        <v>1</v>
      </c>
      <c r="J178" s="2">
        <v>850</v>
      </c>
      <c r="K178" s="2">
        <v>0</v>
      </c>
      <c r="L178" s="2">
        <v>850</v>
      </c>
      <c r="M178" s="2" t="s">
        <v>43</v>
      </c>
      <c r="N178" s="2" t="s">
        <v>37</v>
      </c>
      <c r="O178" s="2">
        <v>5</v>
      </c>
      <c r="P178" s="6">
        <f t="shared" si="16"/>
        <v>850</v>
      </c>
      <c r="Q178" s="6">
        <f t="shared" si="17"/>
        <v>0</v>
      </c>
      <c r="R178" s="6">
        <f t="shared" si="18"/>
        <v>170</v>
      </c>
      <c r="S178" s="6" t="str">
        <f t="shared" si="19"/>
        <v>Mar</v>
      </c>
      <c r="T178" s="6">
        <f t="shared" si="20"/>
        <v>2024</v>
      </c>
      <c r="U178" s="6" t="str">
        <f t="shared" si="21"/>
        <v>Delayed</v>
      </c>
      <c r="V178" s="6" t="str">
        <f t="shared" si="22"/>
        <v>Normal</v>
      </c>
      <c r="W178" s="6" t="str">
        <f t="shared" si="23"/>
        <v>No</v>
      </c>
    </row>
    <row r="179" spans="1:23" x14ac:dyDescent="0.3">
      <c r="A179" s="9" t="s">
        <v>475</v>
      </c>
      <c r="B179" s="5">
        <v>45410</v>
      </c>
      <c r="C179" s="4" t="s">
        <v>263</v>
      </c>
      <c r="D179" s="4" t="s">
        <v>264</v>
      </c>
      <c r="E179" s="4" t="s">
        <v>265</v>
      </c>
      <c r="F179" s="4" t="s">
        <v>266</v>
      </c>
      <c r="G179" s="4" t="s">
        <v>91</v>
      </c>
      <c r="H179" s="4" t="s">
        <v>120</v>
      </c>
      <c r="I179" s="4">
        <v>4</v>
      </c>
      <c r="J179" s="4">
        <v>22000</v>
      </c>
      <c r="K179" s="4">
        <v>0</v>
      </c>
      <c r="L179" s="4">
        <v>88000</v>
      </c>
      <c r="M179" s="4" t="s">
        <v>43</v>
      </c>
      <c r="N179" s="4" t="s">
        <v>37</v>
      </c>
      <c r="O179" s="4">
        <v>5</v>
      </c>
      <c r="P179" s="6">
        <f t="shared" si="16"/>
        <v>88000</v>
      </c>
      <c r="Q179" s="6">
        <f t="shared" si="17"/>
        <v>0</v>
      </c>
      <c r="R179" s="6">
        <f t="shared" si="18"/>
        <v>17600</v>
      </c>
      <c r="S179" s="6" t="str">
        <f t="shared" si="19"/>
        <v>Apr</v>
      </c>
      <c r="T179" s="6">
        <f t="shared" si="20"/>
        <v>2024</v>
      </c>
      <c r="U179" s="6" t="str">
        <f t="shared" si="21"/>
        <v>Delayed</v>
      </c>
      <c r="V179" s="6" t="str">
        <f t="shared" si="22"/>
        <v>High Value</v>
      </c>
      <c r="W179" s="6" t="str">
        <f t="shared" si="23"/>
        <v>Yes</v>
      </c>
    </row>
    <row r="180" spans="1:23" x14ac:dyDescent="0.3">
      <c r="A180" s="8" t="s">
        <v>476</v>
      </c>
      <c r="B180" s="3">
        <v>45210</v>
      </c>
      <c r="C180" s="2" t="s">
        <v>184</v>
      </c>
      <c r="D180" s="2" t="s">
        <v>185</v>
      </c>
      <c r="E180" s="2" t="s">
        <v>52</v>
      </c>
      <c r="F180" s="2" t="s">
        <v>53</v>
      </c>
      <c r="G180" s="2" t="s">
        <v>126</v>
      </c>
      <c r="H180" s="2" t="s">
        <v>127</v>
      </c>
      <c r="I180" s="2">
        <v>4</v>
      </c>
      <c r="J180" s="2">
        <v>850</v>
      </c>
      <c r="K180" s="2">
        <v>10</v>
      </c>
      <c r="L180" s="2">
        <v>3060</v>
      </c>
      <c r="M180" s="2" t="s">
        <v>22</v>
      </c>
      <c r="N180" s="2" t="s">
        <v>31</v>
      </c>
      <c r="O180" s="2">
        <v>5</v>
      </c>
      <c r="P180" s="6">
        <f t="shared" si="16"/>
        <v>3400</v>
      </c>
      <c r="Q180" s="6">
        <f t="shared" si="17"/>
        <v>340</v>
      </c>
      <c r="R180" s="6">
        <f t="shared" si="18"/>
        <v>612</v>
      </c>
      <c r="S180" s="6" t="str">
        <f t="shared" si="19"/>
        <v>Oct</v>
      </c>
      <c r="T180" s="6">
        <f t="shared" si="20"/>
        <v>2023</v>
      </c>
      <c r="U180" s="6" t="str">
        <f t="shared" si="21"/>
        <v>Delayed</v>
      </c>
      <c r="V180" s="6" t="str">
        <f t="shared" si="22"/>
        <v>Normal</v>
      </c>
      <c r="W180" s="6" t="str">
        <f t="shared" si="23"/>
        <v>No</v>
      </c>
    </row>
    <row r="181" spans="1:23" x14ac:dyDescent="0.3">
      <c r="A181" s="9" t="s">
        <v>477</v>
      </c>
      <c r="B181" s="5">
        <v>45179</v>
      </c>
      <c r="C181" s="4" t="s">
        <v>421</v>
      </c>
      <c r="D181" s="4" t="s">
        <v>377</v>
      </c>
      <c r="E181" s="4" t="s">
        <v>147</v>
      </c>
      <c r="F181" s="4" t="s">
        <v>19</v>
      </c>
      <c r="G181" s="4" t="s">
        <v>126</v>
      </c>
      <c r="H181" s="4" t="s">
        <v>222</v>
      </c>
      <c r="I181" s="4">
        <v>1</v>
      </c>
      <c r="J181" s="4">
        <v>650</v>
      </c>
      <c r="K181" s="4">
        <v>5</v>
      </c>
      <c r="L181" s="4">
        <v>617.5</v>
      </c>
      <c r="M181" s="4" t="s">
        <v>22</v>
      </c>
      <c r="N181" s="4" t="s">
        <v>64</v>
      </c>
      <c r="O181" s="4">
        <v>2</v>
      </c>
      <c r="P181" s="6">
        <f t="shared" si="16"/>
        <v>650</v>
      </c>
      <c r="Q181" s="6">
        <f t="shared" si="17"/>
        <v>32.5</v>
      </c>
      <c r="R181" s="6">
        <f t="shared" si="18"/>
        <v>123.5</v>
      </c>
      <c r="S181" s="6" t="str">
        <f t="shared" si="19"/>
        <v>Sep</v>
      </c>
      <c r="T181" s="6">
        <f t="shared" si="20"/>
        <v>2023</v>
      </c>
      <c r="U181" s="6" t="str">
        <f t="shared" si="21"/>
        <v>Fast</v>
      </c>
      <c r="V181" s="6" t="str">
        <f t="shared" si="22"/>
        <v>Normal</v>
      </c>
      <c r="W181" s="6" t="str">
        <f t="shared" si="23"/>
        <v>Yes</v>
      </c>
    </row>
    <row r="182" spans="1:23" x14ac:dyDescent="0.3">
      <c r="A182" s="8" t="s">
        <v>478</v>
      </c>
      <c r="B182" s="3">
        <v>45403</v>
      </c>
      <c r="C182" s="2" t="s">
        <v>135</v>
      </c>
      <c r="D182" s="2" t="s">
        <v>136</v>
      </c>
      <c r="E182" s="2" t="s">
        <v>137</v>
      </c>
      <c r="F182" s="2" t="s">
        <v>19</v>
      </c>
      <c r="G182" s="2" t="s">
        <v>28</v>
      </c>
      <c r="H182" s="2" t="s">
        <v>306</v>
      </c>
      <c r="I182" s="2">
        <v>3</v>
      </c>
      <c r="J182" s="2">
        <v>260</v>
      </c>
      <c r="K182" s="2">
        <v>0</v>
      </c>
      <c r="L182" s="2">
        <v>780</v>
      </c>
      <c r="M182" s="2" t="s">
        <v>43</v>
      </c>
      <c r="N182" s="2" t="s">
        <v>37</v>
      </c>
      <c r="O182" s="2">
        <v>4</v>
      </c>
      <c r="P182" s="6">
        <f t="shared" si="16"/>
        <v>780</v>
      </c>
      <c r="Q182" s="6">
        <f t="shared" si="17"/>
        <v>0</v>
      </c>
      <c r="R182" s="6">
        <f t="shared" si="18"/>
        <v>156</v>
      </c>
      <c r="S182" s="6" t="str">
        <f t="shared" si="19"/>
        <v>Apr</v>
      </c>
      <c r="T182" s="6">
        <f t="shared" si="20"/>
        <v>2024</v>
      </c>
      <c r="U182" s="6" t="str">
        <f t="shared" si="21"/>
        <v>Delayed</v>
      </c>
      <c r="V182" s="6" t="str">
        <f t="shared" si="22"/>
        <v>Normal</v>
      </c>
      <c r="W182" s="6" t="str">
        <f t="shared" si="23"/>
        <v>Yes</v>
      </c>
    </row>
    <row r="183" spans="1:23" x14ac:dyDescent="0.3">
      <c r="A183" s="9" t="s">
        <v>479</v>
      </c>
      <c r="B183" s="5">
        <v>45322</v>
      </c>
      <c r="C183" s="4" t="s">
        <v>289</v>
      </c>
      <c r="D183" s="4" t="s">
        <v>290</v>
      </c>
      <c r="E183" s="4" t="s">
        <v>41</v>
      </c>
      <c r="F183" s="4" t="s">
        <v>19</v>
      </c>
      <c r="G183" s="4" t="s">
        <v>20</v>
      </c>
      <c r="H183" s="4" t="s">
        <v>36</v>
      </c>
      <c r="I183" s="4">
        <v>4</v>
      </c>
      <c r="J183" s="4">
        <v>1200</v>
      </c>
      <c r="K183" s="4">
        <v>20</v>
      </c>
      <c r="L183" s="4">
        <v>3840</v>
      </c>
      <c r="M183" s="4" t="s">
        <v>30</v>
      </c>
      <c r="N183" s="4" t="s">
        <v>31</v>
      </c>
      <c r="O183" s="4">
        <v>5</v>
      </c>
      <c r="P183" s="6">
        <f t="shared" si="16"/>
        <v>4800</v>
      </c>
      <c r="Q183" s="6">
        <f t="shared" si="17"/>
        <v>960</v>
      </c>
      <c r="R183" s="6">
        <f t="shared" si="18"/>
        <v>768</v>
      </c>
      <c r="S183" s="6" t="str">
        <f t="shared" si="19"/>
        <v>Jan</v>
      </c>
      <c r="T183" s="6">
        <f t="shared" si="20"/>
        <v>2024</v>
      </c>
      <c r="U183" s="6" t="str">
        <f t="shared" si="21"/>
        <v>Delayed</v>
      </c>
      <c r="V183" s="6" t="str">
        <f t="shared" si="22"/>
        <v>Normal</v>
      </c>
      <c r="W183" s="6" t="str">
        <f t="shared" si="23"/>
        <v>No</v>
      </c>
    </row>
    <row r="184" spans="1:23" x14ac:dyDescent="0.3">
      <c r="A184" s="8" t="s">
        <v>480</v>
      </c>
      <c r="B184" s="3">
        <v>45230</v>
      </c>
      <c r="C184" s="2" t="s">
        <v>131</v>
      </c>
      <c r="D184" s="2" t="s">
        <v>132</v>
      </c>
      <c r="E184" s="2" t="s">
        <v>133</v>
      </c>
      <c r="F184" s="2" t="s">
        <v>19</v>
      </c>
      <c r="G184" s="2" t="s">
        <v>47</v>
      </c>
      <c r="H184" s="2" t="s">
        <v>379</v>
      </c>
      <c r="I184" s="2">
        <v>1</v>
      </c>
      <c r="J184" s="2">
        <v>950</v>
      </c>
      <c r="K184" s="2">
        <v>15</v>
      </c>
      <c r="L184" s="2">
        <v>807.5</v>
      </c>
      <c r="M184" s="2" t="s">
        <v>43</v>
      </c>
      <c r="N184" s="2" t="s">
        <v>64</v>
      </c>
      <c r="O184" s="2">
        <v>1</v>
      </c>
      <c r="P184" s="6">
        <f t="shared" si="16"/>
        <v>950</v>
      </c>
      <c r="Q184" s="6">
        <f t="shared" si="17"/>
        <v>142.5</v>
      </c>
      <c r="R184" s="6">
        <f t="shared" si="18"/>
        <v>161.5</v>
      </c>
      <c r="S184" s="6" t="str">
        <f t="shared" si="19"/>
        <v>Oct</v>
      </c>
      <c r="T184" s="6">
        <f t="shared" si="20"/>
        <v>2023</v>
      </c>
      <c r="U184" s="6" t="str">
        <f t="shared" si="21"/>
        <v>Fast</v>
      </c>
      <c r="V184" s="6" t="str">
        <f t="shared" si="22"/>
        <v>Normal</v>
      </c>
      <c r="W184" s="6" t="str">
        <f t="shared" si="23"/>
        <v>No</v>
      </c>
    </row>
    <row r="185" spans="1:23" x14ac:dyDescent="0.3">
      <c r="A185" s="9" t="s">
        <v>481</v>
      </c>
      <c r="B185" s="5">
        <v>44933</v>
      </c>
      <c r="C185" s="4" t="s">
        <v>251</v>
      </c>
      <c r="D185" s="4" t="s">
        <v>252</v>
      </c>
      <c r="E185" s="4" t="s">
        <v>253</v>
      </c>
      <c r="F185" s="4" t="s">
        <v>155</v>
      </c>
      <c r="G185" s="4" t="s">
        <v>69</v>
      </c>
      <c r="H185" s="4" t="s">
        <v>482</v>
      </c>
      <c r="I185" s="4">
        <v>4</v>
      </c>
      <c r="J185" s="4">
        <v>2800</v>
      </c>
      <c r="K185" s="4">
        <v>5</v>
      </c>
      <c r="L185" s="4">
        <v>10640</v>
      </c>
      <c r="M185" s="4" t="s">
        <v>30</v>
      </c>
      <c r="N185" s="4" t="s">
        <v>23</v>
      </c>
      <c r="O185" s="4">
        <v>0</v>
      </c>
      <c r="P185" s="6">
        <f t="shared" si="16"/>
        <v>11200</v>
      </c>
      <c r="Q185" s="6">
        <f t="shared" si="17"/>
        <v>560</v>
      </c>
      <c r="R185" s="6">
        <f t="shared" si="18"/>
        <v>2128</v>
      </c>
      <c r="S185" s="6" t="str">
        <f t="shared" si="19"/>
        <v>Jan</v>
      </c>
      <c r="T185" s="6">
        <f t="shared" si="20"/>
        <v>2023</v>
      </c>
      <c r="U185" s="6" t="str">
        <f t="shared" si="21"/>
        <v>Fast</v>
      </c>
      <c r="V185" s="6" t="str">
        <f t="shared" si="22"/>
        <v>High Value</v>
      </c>
      <c r="W185" s="6" t="str">
        <f t="shared" si="23"/>
        <v>Yes</v>
      </c>
    </row>
    <row r="186" spans="1:23" x14ac:dyDescent="0.3">
      <c r="A186" s="8" t="s">
        <v>483</v>
      </c>
      <c r="B186" s="3">
        <v>45306</v>
      </c>
      <c r="C186" s="2" t="s">
        <v>238</v>
      </c>
      <c r="D186" s="2" t="s">
        <v>239</v>
      </c>
      <c r="E186" s="2" t="s">
        <v>68</v>
      </c>
      <c r="F186" s="2" t="s">
        <v>19</v>
      </c>
      <c r="G186" s="2" t="s">
        <v>91</v>
      </c>
      <c r="H186" s="2" t="s">
        <v>484</v>
      </c>
      <c r="I186" s="2">
        <v>3</v>
      </c>
      <c r="J186" s="2">
        <v>3500</v>
      </c>
      <c r="K186" s="2">
        <v>0</v>
      </c>
      <c r="L186" s="2">
        <v>10500</v>
      </c>
      <c r="M186" s="2" t="s">
        <v>43</v>
      </c>
      <c r="N186" s="2" t="s">
        <v>37</v>
      </c>
      <c r="O186" s="2">
        <v>10</v>
      </c>
      <c r="P186" s="6">
        <f t="shared" si="16"/>
        <v>10500</v>
      </c>
      <c r="Q186" s="6">
        <f t="shared" si="17"/>
        <v>0</v>
      </c>
      <c r="R186" s="6">
        <f t="shared" si="18"/>
        <v>2100</v>
      </c>
      <c r="S186" s="6" t="str">
        <f t="shared" si="19"/>
        <v>Jan</v>
      </c>
      <c r="T186" s="6">
        <f t="shared" si="20"/>
        <v>2024</v>
      </c>
      <c r="U186" s="6" t="str">
        <f t="shared" si="21"/>
        <v>Delayed</v>
      </c>
      <c r="V186" s="6" t="str">
        <f t="shared" si="22"/>
        <v>High Value</v>
      </c>
      <c r="W186" s="6" t="str">
        <f t="shared" si="23"/>
        <v>No</v>
      </c>
    </row>
    <row r="187" spans="1:23" x14ac:dyDescent="0.3">
      <c r="A187" s="9" t="s">
        <v>485</v>
      </c>
      <c r="B187" s="5">
        <v>45270</v>
      </c>
      <c r="C187" s="4" t="s">
        <v>437</v>
      </c>
      <c r="D187" s="4" t="s">
        <v>438</v>
      </c>
      <c r="E187" s="4" t="s">
        <v>79</v>
      </c>
      <c r="F187" s="4" t="s">
        <v>79</v>
      </c>
      <c r="G187" s="4" t="s">
        <v>54</v>
      </c>
      <c r="H187" s="4" t="s">
        <v>86</v>
      </c>
      <c r="I187" s="4">
        <v>3</v>
      </c>
      <c r="J187" s="4">
        <v>450</v>
      </c>
      <c r="K187" s="4">
        <v>15</v>
      </c>
      <c r="L187" s="4">
        <v>1147.5</v>
      </c>
      <c r="M187" s="4" t="s">
        <v>43</v>
      </c>
      <c r="N187" s="4" t="s">
        <v>37</v>
      </c>
      <c r="O187" s="4">
        <v>8</v>
      </c>
      <c r="P187" s="6">
        <f t="shared" si="16"/>
        <v>1350</v>
      </c>
      <c r="Q187" s="6">
        <f t="shared" si="17"/>
        <v>202.5</v>
      </c>
      <c r="R187" s="6">
        <f t="shared" si="18"/>
        <v>229.5</v>
      </c>
      <c r="S187" s="6" t="str">
        <f t="shared" si="19"/>
        <v>Dec</v>
      </c>
      <c r="T187" s="6">
        <f t="shared" si="20"/>
        <v>2023</v>
      </c>
      <c r="U187" s="6" t="str">
        <f t="shared" si="21"/>
        <v>Delayed</v>
      </c>
      <c r="V187" s="6" t="str">
        <f t="shared" si="22"/>
        <v>Normal</v>
      </c>
      <c r="W187" s="6" t="str">
        <f t="shared" si="23"/>
        <v>Yes</v>
      </c>
    </row>
    <row r="188" spans="1:23" x14ac:dyDescent="0.3">
      <c r="A188" s="8" t="s">
        <v>486</v>
      </c>
      <c r="B188" s="3">
        <v>45356</v>
      </c>
      <c r="C188" s="2" t="s">
        <v>50</v>
      </c>
      <c r="D188" s="2" t="s">
        <v>51</v>
      </c>
      <c r="E188" s="2" t="s">
        <v>52</v>
      </c>
      <c r="F188" s="2" t="s">
        <v>53</v>
      </c>
      <c r="G188" s="2" t="s">
        <v>28</v>
      </c>
      <c r="H188" s="2" t="s">
        <v>487</v>
      </c>
      <c r="I188" s="2">
        <v>2</v>
      </c>
      <c r="J188" s="2">
        <v>180</v>
      </c>
      <c r="K188" s="2">
        <v>10</v>
      </c>
      <c r="L188" s="2">
        <v>324</v>
      </c>
      <c r="M188" s="2" t="s">
        <v>43</v>
      </c>
      <c r="N188" s="2" t="s">
        <v>37</v>
      </c>
      <c r="O188" s="2">
        <v>6</v>
      </c>
      <c r="P188" s="6">
        <f t="shared" si="16"/>
        <v>360</v>
      </c>
      <c r="Q188" s="6">
        <f t="shared" si="17"/>
        <v>36</v>
      </c>
      <c r="R188" s="6">
        <f t="shared" si="18"/>
        <v>64.8</v>
      </c>
      <c r="S188" s="6" t="str">
        <f t="shared" si="19"/>
        <v>Mar</v>
      </c>
      <c r="T188" s="6">
        <f t="shared" si="20"/>
        <v>2024</v>
      </c>
      <c r="U188" s="6" t="str">
        <f t="shared" si="21"/>
        <v>Delayed</v>
      </c>
      <c r="V188" s="6" t="str">
        <f t="shared" si="22"/>
        <v>Normal</v>
      </c>
      <c r="W188" s="6" t="str">
        <f t="shared" si="23"/>
        <v>No</v>
      </c>
    </row>
    <row r="189" spans="1:23" x14ac:dyDescent="0.3">
      <c r="A189" s="9" t="s">
        <v>488</v>
      </c>
      <c r="B189" s="5">
        <v>45406</v>
      </c>
      <c r="C189" s="4" t="s">
        <v>340</v>
      </c>
      <c r="D189" s="4" t="s">
        <v>341</v>
      </c>
      <c r="E189" s="4" t="s">
        <v>253</v>
      </c>
      <c r="F189" s="4" t="s">
        <v>155</v>
      </c>
      <c r="G189" s="4" t="s">
        <v>149</v>
      </c>
      <c r="H189" s="4" t="s">
        <v>256</v>
      </c>
      <c r="I189" s="4">
        <v>2</v>
      </c>
      <c r="J189" s="4">
        <v>220</v>
      </c>
      <c r="K189" s="4">
        <v>15</v>
      </c>
      <c r="L189" s="4">
        <v>374</v>
      </c>
      <c r="M189" s="4" t="s">
        <v>22</v>
      </c>
      <c r="N189" s="4" t="s">
        <v>37</v>
      </c>
      <c r="O189" s="4">
        <v>4</v>
      </c>
      <c r="P189" s="6">
        <f t="shared" si="16"/>
        <v>440</v>
      </c>
      <c r="Q189" s="6">
        <f t="shared" si="17"/>
        <v>66</v>
      </c>
      <c r="R189" s="6">
        <f t="shared" si="18"/>
        <v>74.8</v>
      </c>
      <c r="S189" s="6" t="str">
        <f t="shared" si="19"/>
        <v>Apr</v>
      </c>
      <c r="T189" s="6">
        <f t="shared" si="20"/>
        <v>2024</v>
      </c>
      <c r="U189" s="6" t="str">
        <f t="shared" si="21"/>
        <v>Delayed</v>
      </c>
      <c r="V189" s="6" t="str">
        <f t="shared" si="22"/>
        <v>Normal</v>
      </c>
      <c r="W189" s="6" t="str">
        <f t="shared" si="23"/>
        <v>No</v>
      </c>
    </row>
    <row r="190" spans="1:23" x14ac:dyDescent="0.3">
      <c r="A190" s="8" t="s">
        <v>489</v>
      </c>
      <c r="B190" s="3">
        <v>45430</v>
      </c>
      <c r="C190" s="2" t="s">
        <v>180</v>
      </c>
      <c r="D190" s="2" t="s">
        <v>181</v>
      </c>
      <c r="E190" s="2" t="s">
        <v>35</v>
      </c>
      <c r="F190" s="2" t="s">
        <v>19</v>
      </c>
      <c r="G190" s="2" t="s">
        <v>47</v>
      </c>
      <c r="H190" s="2" t="s">
        <v>209</v>
      </c>
      <c r="I190" s="2">
        <v>3</v>
      </c>
      <c r="J190" s="2">
        <v>450</v>
      </c>
      <c r="K190" s="2">
        <v>5</v>
      </c>
      <c r="L190" s="2">
        <v>1282.5</v>
      </c>
      <c r="M190" s="2" t="s">
        <v>30</v>
      </c>
      <c r="N190" s="2" t="s">
        <v>37</v>
      </c>
      <c r="O190" s="2">
        <v>8</v>
      </c>
      <c r="P190" s="6">
        <f t="shared" si="16"/>
        <v>1350</v>
      </c>
      <c r="Q190" s="6">
        <f t="shared" si="17"/>
        <v>67.5</v>
      </c>
      <c r="R190" s="6">
        <f t="shared" si="18"/>
        <v>256.5</v>
      </c>
      <c r="S190" s="6" t="str">
        <f t="shared" si="19"/>
        <v>May</v>
      </c>
      <c r="T190" s="6">
        <f t="shared" si="20"/>
        <v>2024</v>
      </c>
      <c r="U190" s="6" t="str">
        <f t="shared" si="21"/>
        <v>Delayed</v>
      </c>
      <c r="V190" s="6" t="str">
        <f t="shared" si="22"/>
        <v>Normal</v>
      </c>
      <c r="W190" s="6" t="str">
        <f t="shared" si="23"/>
        <v>Yes</v>
      </c>
    </row>
    <row r="191" spans="1:23" x14ac:dyDescent="0.3">
      <c r="A191" s="9" t="s">
        <v>490</v>
      </c>
      <c r="B191" s="5">
        <v>45290</v>
      </c>
      <c r="C191" s="4" t="s">
        <v>437</v>
      </c>
      <c r="D191" s="4" t="s">
        <v>438</v>
      </c>
      <c r="E191" s="4" t="s">
        <v>79</v>
      </c>
      <c r="F191" s="4" t="s">
        <v>79</v>
      </c>
      <c r="G191" s="4" t="s">
        <v>54</v>
      </c>
      <c r="H191" s="4" t="s">
        <v>59</v>
      </c>
      <c r="I191" s="4">
        <v>4</v>
      </c>
      <c r="J191" s="4">
        <v>160</v>
      </c>
      <c r="K191" s="4">
        <v>10</v>
      </c>
      <c r="L191" s="4">
        <v>576</v>
      </c>
      <c r="M191" s="4" t="s">
        <v>71</v>
      </c>
      <c r="N191" s="4" t="s">
        <v>37</v>
      </c>
      <c r="O191" s="4">
        <v>8</v>
      </c>
      <c r="P191" s="6">
        <f t="shared" si="16"/>
        <v>640</v>
      </c>
      <c r="Q191" s="6">
        <f t="shared" si="17"/>
        <v>64</v>
      </c>
      <c r="R191" s="6">
        <f t="shared" si="18"/>
        <v>115.2</v>
      </c>
      <c r="S191" s="6" t="str">
        <f t="shared" si="19"/>
        <v>Dec</v>
      </c>
      <c r="T191" s="6">
        <f t="shared" si="20"/>
        <v>2023</v>
      </c>
      <c r="U191" s="6" t="str">
        <f t="shared" si="21"/>
        <v>Delayed</v>
      </c>
      <c r="V191" s="6" t="str">
        <f t="shared" si="22"/>
        <v>Normal</v>
      </c>
      <c r="W191" s="6" t="str">
        <f t="shared" si="23"/>
        <v>Yes</v>
      </c>
    </row>
    <row r="192" spans="1:23" x14ac:dyDescent="0.3">
      <c r="A192" s="8" t="s">
        <v>491</v>
      </c>
      <c r="B192" s="3">
        <v>45082</v>
      </c>
      <c r="C192" s="2" t="s">
        <v>169</v>
      </c>
      <c r="D192" s="2" t="s">
        <v>170</v>
      </c>
      <c r="E192" s="2" t="s">
        <v>171</v>
      </c>
      <c r="F192" s="2" t="s">
        <v>19</v>
      </c>
      <c r="G192" s="2" t="s">
        <v>28</v>
      </c>
      <c r="H192" s="2" t="s">
        <v>29</v>
      </c>
      <c r="I192" s="2">
        <v>1</v>
      </c>
      <c r="J192" s="2">
        <v>1200</v>
      </c>
      <c r="K192" s="2">
        <v>10</v>
      </c>
      <c r="L192" s="2">
        <v>1080</v>
      </c>
      <c r="M192" s="2" t="s">
        <v>30</v>
      </c>
      <c r="N192" s="2" t="s">
        <v>23</v>
      </c>
      <c r="O192" s="2">
        <v>0</v>
      </c>
      <c r="P192" s="6">
        <f t="shared" si="16"/>
        <v>1200</v>
      </c>
      <c r="Q192" s="6">
        <f t="shared" si="17"/>
        <v>120</v>
      </c>
      <c r="R192" s="6">
        <f t="shared" si="18"/>
        <v>216</v>
      </c>
      <c r="S192" s="6" t="str">
        <f t="shared" si="19"/>
        <v>Jun</v>
      </c>
      <c r="T192" s="6">
        <f t="shared" si="20"/>
        <v>2023</v>
      </c>
      <c r="U192" s="6" t="str">
        <f t="shared" si="21"/>
        <v>Fast</v>
      </c>
      <c r="V192" s="6" t="str">
        <f t="shared" si="22"/>
        <v>Normal</v>
      </c>
      <c r="W192" s="6" t="str">
        <f t="shared" si="23"/>
        <v>No</v>
      </c>
    </row>
    <row r="193" spans="1:23" x14ac:dyDescent="0.3">
      <c r="A193" s="9" t="s">
        <v>492</v>
      </c>
      <c r="B193" s="5">
        <v>45330</v>
      </c>
      <c r="C193" s="4" t="s">
        <v>191</v>
      </c>
      <c r="D193" s="4" t="s">
        <v>192</v>
      </c>
      <c r="E193" s="4" t="s">
        <v>106</v>
      </c>
      <c r="F193" s="4" t="s">
        <v>19</v>
      </c>
      <c r="G193" s="4" t="s">
        <v>20</v>
      </c>
      <c r="H193" s="4" t="s">
        <v>202</v>
      </c>
      <c r="I193" s="4">
        <v>4</v>
      </c>
      <c r="J193" s="4">
        <v>650</v>
      </c>
      <c r="K193" s="4">
        <v>10</v>
      </c>
      <c r="L193" s="4">
        <v>2340</v>
      </c>
      <c r="M193" s="4" t="s">
        <v>143</v>
      </c>
      <c r="N193" s="4" t="s">
        <v>23</v>
      </c>
      <c r="O193" s="4">
        <v>0</v>
      </c>
      <c r="P193" s="6">
        <f t="shared" si="16"/>
        <v>2600</v>
      </c>
      <c r="Q193" s="6">
        <f t="shared" si="17"/>
        <v>260</v>
      </c>
      <c r="R193" s="6">
        <f t="shared" si="18"/>
        <v>468</v>
      </c>
      <c r="S193" s="6" t="str">
        <f t="shared" si="19"/>
        <v>Feb</v>
      </c>
      <c r="T193" s="6">
        <f t="shared" si="20"/>
        <v>2024</v>
      </c>
      <c r="U193" s="6" t="str">
        <f t="shared" si="21"/>
        <v>Fast</v>
      </c>
      <c r="V193" s="6" t="str">
        <f t="shared" si="22"/>
        <v>Normal</v>
      </c>
      <c r="W193" s="6" t="str">
        <f t="shared" si="23"/>
        <v>No</v>
      </c>
    </row>
    <row r="194" spans="1:23" x14ac:dyDescent="0.3">
      <c r="A194" s="8" t="s">
        <v>493</v>
      </c>
      <c r="B194" s="3">
        <v>45304</v>
      </c>
      <c r="C194" s="2" t="s">
        <v>100</v>
      </c>
      <c r="D194" s="2" t="s">
        <v>101</v>
      </c>
      <c r="E194" s="2" t="s">
        <v>27</v>
      </c>
      <c r="F194" s="2" t="s">
        <v>19</v>
      </c>
      <c r="G194" s="2" t="s">
        <v>149</v>
      </c>
      <c r="H194" s="2" t="s">
        <v>182</v>
      </c>
      <c r="I194" s="2">
        <v>4</v>
      </c>
      <c r="J194" s="2">
        <v>180</v>
      </c>
      <c r="K194" s="2">
        <v>20</v>
      </c>
      <c r="L194" s="2">
        <v>576</v>
      </c>
      <c r="M194" s="2" t="s">
        <v>107</v>
      </c>
      <c r="N194" s="2" t="s">
        <v>64</v>
      </c>
      <c r="O194" s="2">
        <v>2</v>
      </c>
      <c r="P194" s="6">
        <f t="shared" si="16"/>
        <v>720</v>
      </c>
      <c r="Q194" s="6">
        <f t="shared" si="17"/>
        <v>144</v>
      </c>
      <c r="R194" s="6">
        <f t="shared" si="18"/>
        <v>115.2</v>
      </c>
      <c r="S194" s="6" t="str">
        <f t="shared" si="19"/>
        <v>Jan</v>
      </c>
      <c r="T194" s="6">
        <f t="shared" si="20"/>
        <v>2024</v>
      </c>
      <c r="U194" s="6" t="str">
        <f t="shared" si="21"/>
        <v>Fast</v>
      </c>
      <c r="V194" s="6" t="str">
        <f t="shared" si="22"/>
        <v>Normal</v>
      </c>
      <c r="W194" s="6" t="str">
        <f t="shared" si="23"/>
        <v>Yes</v>
      </c>
    </row>
    <row r="195" spans="1:23" x14ac:dyDescent="0.3">
      <c r="A195" s="9" t="s">
        <v>494</v>
      </c>
      <c r="B195" s="5">
        <v>44962</v>
      </c>
      <c r="C195" s="4" t="s">
        <v>472</v>
      </c>
      <c r="D195" s="4" t="s">
        <v>473</v>
      </c>
      <c r="E195" s="4" t="s">
        <v>133</v>
      </c>
      <c r="F195" s="4" t="s">
        <v>19</v>
      </c>
      <c r="G195" s="4" t="s">
        <v>54</v>
      </c>
      <c r="H195" s="4" t="s">
        <v>84</v>
      </c>
      <c r="I195" s="4">
        <v>2</v>
      </c>
      <c r="J195" s="4">
        <v>280</v>
      </c>
      <c r="K195" s="4">
        <v>0</v>
      </c>
      <c r="L195" s="4">
        <v>560</v>
      </c>
      <c r="M195" s="4" t="s">
        <v>43</v>
      </c>
      <c r="N195" s="4" t="s">
        <v>37</v>
      </c>
      <c r="O195" s="4">
        <v>6</v>
      </c>
      <c r="P195" s="6">
        <f t="shared" ref="P195:P258" si="24">I195*J195</f>
        <v>560</v>
      </c>
      <c r="Q195" s="6">
        <f t="shared" ref="Q195:Q258" si="25">P195*(K195/100)</f>
        <v>0</v>
      </c>
      <c r="R195" s="6">
        <f t="shared" ref="R195:R258" si="26">L195*0.2</f>
        <v>112</v>
      </c>
      <c r="S195" s="6" t="str">
        <f t="shared" ref="S195:S258" si="27">TEXT(B195,"MMM")</f>
        <v>Feb</v>
      </c>
      <c r="T195" s="6">
        <f t="shared" ref="T195:T258" si="28">YEAR(B195)</f>
        <v>2023</v>
      </c>
      <c r="U195" s="6" t="str">
        <f t="shared" ref="U195:U258" si="29">IF(O195&lt;=3,"Fast","Delayed")</f>
        <v>Delayed</v>
      </c>
      <c r="V195" s="6" t="str">
        <f t="shared" ref="V195:V258" si="30">IF(L195&gt;5000,"High Value","Normal")</f>
        <v>Normal</v>
      </c>
      <c r="W195" s="6" t="str">
        <f t="shared" ref="W195:W258" si="31">IF(WEEKDAY(B195,2)&gt;5,"Yes","No")</f>
        <v>Yes</v>
      </c>
    </row>
    <row r="196" spans="1:23" x14ac:dyDescent="0.3">
      <c r="A196" s="8" t="s">
        <v>495</v>
      </c>
      <c r="B196" s="3">
        <v>45193</v>
      </c>
      <c r="C196" s="2" t="s">
        <v>363</v>
      </c>
      <c r="D196" s="2" t="s">
        <v>364</v>
      </c>
      <c r="E196" s="2" t="s">
        <v>265</v>
      </c>
      <c r="F196" s="2" t="s">
        <v>266</v>
      </c>
      <c r="G196" s="2" t="s">
        <v>54</v>
      </c>
      <c r="H196" s="2" t="s">
        <v>59</v>
      </c>
      <c r="I196" s="2">
        <v>2</v>
      </c>
      <c r="J196" s="2">
        <v>160</v>
      </c>
      <c r="K196" s="2">
        <v>10</v>
      </c>
      <c r="L196" s="2">
        <v>288</v>
      </c>
      <c r="M196" s="2" t="s">
        <v>71</v>
      </c>
      <c r="N196" s="2" t="s">
        <v>37</v>
      </c>
      <c r="O196" s="2">
        <v>7</v>
      </c>
      <c r="P196" s="6">
        <f t="shared" si="24"/>
        <v>320</v>
      </c>
      <c r="Q196" s="6">
        <f t="shared" si="25"/>
        <v>32</v>
      </c>
      <c r="R196" s="6">
        <f t="shared" si="26"/>
        <v>57.6</v>
      </c>
      <c r="S196" s="6" t="str">
        <f t="shared" si="27"/>
        <v>Sep</v>
      </c>
      <c r="T196" s="6">
        <f t="shared" si="28"/>
        <v>2023</v>
      </c>
      <c r="U196" s="6" t="str">
        <f t="shared" si="29"/>
        <v>Delayed</v>
      </c>
      <c r="V196" s="6" t="str">
        <f t="shared" si="30"/>
        <v>Normal</v>
      </c>
      <c r="W196" s="6" t="str">
        <f t="shared" si="31"/>
        <v>Yes</v>
      </c>
    </row>
    <row r="197" spans="1:23" x14ac:dyDescent="0.3">
      <c r="A197" s="9" t="s">
        <v>496</v>
      </c>
      <c r="B197" s="5">
        <v>45151</v>
      </c>
      <c r="C197" s="4" t="s">
        <v>400</v>
      </c>
      <c r="D197" s="4" t="s">
        <v>401</v>
      </c>
      <c r="E197" s="4" t="s">
        <v>137</v>
      </c>
      <c r="F197" s="4" t="s">
        <v>19</v>
      </c>
      <c r="G197" s="4" t="s">
        <v>149</v>
      </c>
      <c r="H197" s="4" t="s">
        <v>446</v>
      </c>
      <c r="I197" s="4">
        <v>4</v>
      </c>
      <c r="J197" s="4">
        <v>449</v>
      </c>
      <c r="K197" s="4">
        <v>0</v>
      </c>
      <c r="L197" s="4">
        <v>1796</v>
      </c>
      <c r="M197" s="4" t="s">
        <v>107</v>
      </c>
      <c r="N197" s="4" t="s">
        <v>64</v>
      </c>
      <c r="O197" s="4">
        <v>2</v>
      </c>
      <c r="P197" s="6">
        <f t="shared" si="24"/>
        <v>1796</v>
      </c>
      <c r="Q197" s="6">
        <f t="shared" si="25"/>
        <v>0</v>
      </c>
      <c r="R197" s="6">
        <f t="shared" si="26"/>
        <v>359.20000000000005</v>
      </c>
      <c r="S197" s="6" t="str">
        <f t="shared" si="27"/>
        <v>Aug</v>
      </c>
      <c r="T197" s="6">
        <f t="shared" si="28"/>
        <v>2023</v>
      </c>
      <c r="U197" s="6" t="str">
        <f t="shared" si="29"/>
        <v>Fast</v>
      </c>
      <c r="V197" s="6" t="str">
        <f t="shared" si="30"/>
        <v>Normal</v>
      </c>
      <c r="W197" s="6" t="str">
        <f t="shared" si="31"/>
        <v>Yes</v>
      </c>
    </row>
    <row r="198" spans="1:23" x14ac:dyDescent="0.3">
      <c r="A198" s="8" t="s">
        <v>497</v>
      </c>
      <c r="B198" s="3">
        <v>45111</v>
      </c>
      <c r="C198" s="2" t="s">
        <v>448</v>
      </c>
      <c r="D198" s="2" t="s">
        <v>449</v>
      </c>
      <c r="E198" s="2" t="s">
        <v>27</v>
      </c>
      <c r="F198" s="2" t="s">
        <v>19</v>
      </c>
      <c r="G198" s="2" t="s">
        <v>20</v>
      </c>
      <c r="H198" s="2" t="s">
        <v>327</v>
      </c>
      <c r="I198" s="2">
        <v>2</v>
      </c>
      <c r="J198" s="2">
        <v>950</v>
      </c>
      <c r="K198" s="2">
        <v>0</v>
      </c>
      <c r="L198" s="2">
        <v>1900</v>
      </c>
      <c r="M198" s="2" t="s">
        <v>143</v>
      </c>
      <c r="N198" s="2" t="s">
        <v>37</v>
      </c>
      <c r="O198" s="2">
        <v>2</v>
      </c>
      <c r="P198" s="6">
        <f t="shared" si="24"/>
        <v>1900</v>
      </c>
      <c r="Q198" s="6">
        <f t="shared" si="25"/>
        <v>0</v>
      </c>
      <c r="R198" s="6">
        <f t="shared" si="26"/>
        <v>380</v>
      </c>
      <c r="S198" s="6" t="str">
        <f t="shared" si="27"/>
        <v>Jul</v>
      </c>
      <c r="T198" s="6">
        <f t="shared" si="28"/>
        <v>2023</v>
      </c>
      <c r="U198" s="6" t="str">
        <f t="shared" si="29"/>
        <v>Fast</v>
      </c>
      <c r="V198" s="6" t="str">
        <f t="shared" si="30"/>
        <v>Normal</v>
      </c>
      <c r="W198" s="6" t="str">
        <f t="shared" si="31"/>
        <v>No</v>
      </c>
    </row>
    <row r="199" spans="1:23" x14ac:dyDescent="0.3">
      <c r="A199" s="9" t="s">
        <v>498</v>
      </c>
      <c r="B199" s="5">
        <v>45033</v>
      </c>
      <c r="C199" s="4" t="s">
        <v>397</v>
      </c>
      <c r="D199" s="4" t="s">
        <v>398</v>
      </c>
      <c r="E199" s="4" t="s">
        <v>299</v>
      </c>
      <c r="F199" s="4" t="s">
        <v>19</v>
      </c>
      <c r="G199" s="4" t="s">
        <v>47</v>
      </c>
      <c r="H199" s="4" t="s">
        <v>379</v>
      </c>
      <c r="I199" s="4">
        <v>2</v>
      </c>
      <c r="J199" s="4">
        <v>950</v>
      </c>
      <c r="K199" s="4">
        <v>0</v>
      </c>
      <c r="L199" s="4">
        <v>1900</v>
      </c>
      <c r="M199" s="4" t="s">
        <v>30</v>
      </c>
      <c r="N199" s="4" t="s">
        <v>37</v>
      </c>
      <c r="O199" s="4">
        <v>10</v>
      </c>
      <c r="P199" s="6">
        <f t="shared" si="24"/>
        <v>1900</v>
      </c>
      <c r="Q199" s="6">
        <f t="shared" si="25"/>
        <v>0</v>
      </c>
      <c r="R199" s="6">
        <f t="shared" si="26"/>
        <v>380</v>
      </c>
      <c r="S199" s="6" t="str">
        <f t="shared" si="27"/>
        <v>Apr</v>
      </c>
      <c r="T199" s="6">
        <f t="shared" si="28"/>
        <v>2023</v>
      </c>
      <c r="U199" s="6" t="str">
        <f t="shared" si="29"/>
        <v>Delayed</v>
      </c>
      <c r="V199" s="6" t="str">
        <f t="shared" si="30"/>
        <v>Normal</v>
      </c>
      <c r="W199" s="6" t="str">
        <f t="shared" si="31"/>
        <v>No</v>
      </c>
    </row>
    <row r="200" spans="1:23" x14ac:dyDescent="0.3">
      <c r="A200" s="8" t="s">
        <v>499</v>
      </c>
      <c r="B200" s="3">
        <v>44975</v>
      </c>
      <c r="C200" s="2" t="s">
        <v>437</v>
      </c>
      <c r="D200" s="2" t="s">
        <v>438</v>
      </c>
      <c r="E200" s="2" t="s">
        <v>79</v>
      </c>
      <c r="F200" s="2" t="s">
        <v>79</v>
      </c>
      <c r="G200" s="2" t="s">
        <v>91</v>
      </c>
      <c r="H200" s="2" t="s">
        <v>500</v>
      </c>
      <c r="I200" s="2">
        <v>2</v>
      </c>
      <c r="J200" s="2">
        <v>2500</v>
      </c>
      <c r="K200" s="2">
        <v>0</v>
      </c>
      <c r="L200" s="2">
        <v>5000</v>
      </c>
      <c r="M200" s="2" t="s">
        <v>43</v>
      </c>
      <c r="N200" s="2" t="s">
        <v>37</v>
      </c>
      <c r="O200" s="2">
        <v>4</v>
      </c>
      <c r="P200" s="6">
        <f t="shared" si="24"/>
        <v>5000</v>
      </c>
      <c r="Q200" s="6">
        <f t="shared" si="25"/>
        <v>0</v>
      </c>
      <c r="R200" s="6">
        <f t="shared" si="26"/>
        <v>1000</v>
      </c>
      <c r="S200" s="6" t="str">
        <f t="shared" si="27"/>
        <v>Feb</v>
      </c>
      <c r="T200" s="6">
        <f t="shared" si="28"/>
        <v>2023</v>
      </c>
      <c r="U200" s="6" t="str">
        <f t="shared" si="29"/>
        <v>Delayed</v>
      </c>
      <c r="V200" s="6" t="str">
        <f t="shared" si="30"/>
        <v>Normal</v>
      </c>
      <c r="W200" s="6" t="str">
        <f t="shared" si="31"/>
        <v>Yes</v>
      </c>
    </row>
    <row r="201" spans="1:23" x14ac:dyDescent="0.3">
      <c r="A201" s="9" t="s">
        <v>501</v>
      </c>
      <c r="B201" s="5">
        <v>45169</v>
      </c>
      <c r="C201" s="4" t="s">
        <v>263</v>
      </c>
      <c r="D201" s="4" t="s">
        <v>264</v>
      </c>
      <c r="E201" s="4" t="s">
        <v>265</v>
      </c>
      <c r="F201" s="4" t="s">
        <v>266</v>
      </c>
      <c r="G201" s="4" t="s">
        <v>28</v>
      </c>
      <c r="H201" s="4" t="s">
        <v>322</v>
      </c>
      <c r="I201" s="4">
        <v>1</v>
      </c>
      <c r="J201" s="4">
        <v>140</v>
      </c>
      <c r="K201" s="4">
        <v>5</v>
      </c>
      <c r="L201" s="4">
        <v>133</v>
      </c>
      <c r="M201" s="4" t="s">
        <v>107</v>
      </c>
      <c r="N201" s="4" t="s">
        <v>37</v>
      </c>
      <c r="O201" s="4">
        <v>7</v>
      </c>
      <c r="P201" s="6">
        <f t="shared" si="24"/>
        <v>140</v>
      </c>
      <c r="Q201" s="6">
        <f t="shared" si="25"/>
        <v>7</v>
      </c>
      <c r="R201" s="6">
        <f t="shared" si="26"/>
        <v>26.6</v>
      </c>
      <c r="S201" s="6" t="str">
        <f t="shared" si="27"/>
        <v>Aug</v>
      </c>
      <c r="T201" s="6">
        <f t="shared" si="28"/>
        <v>2023</v>
      </c>
      <c r="U201" s="6" t="str">
        <f t="shared" si="29"/>
        <v>Delayed</v>
      </c>
      <c r="V201" s="6" t="str">
        <f t="shared" si="30"/>
        <v>Normal</v>
      </c>
      <c r="W201" s="6" t="str">
        <f t="shared" si="31"/>
        <v>No</v>
      </c>
    </row>
    <row r="202" spans="1:23" x14ac:dyDescent="0.3">
      <c r="A202" s="8" t="s">
        <v>502</v>
      </c>
      <c r="B202" s="3">
        <v>45366</v>
      </c>
      <c r="C202" s="2" t="s">
        <v>228</v>
      </c>
      <c r="D202" s="2" t="s">
        <v>229</v>
      </c>
      <c r="E202" s="2" t="s">
        <v>230</v>
      </c>
      <c r="F202" s="2" t="s">
        <v>19</v>
      </c>
      <c r="G202" s="2" t="s">
        <v>149</v>
      </c>
      <c r="H202" s="2" t="s">
        <v>457</v>
      </c>
      <c r="I202" s="2">
        <v>4</v>
      </c>
      <c r="J202" s="2">
        <v>85</v>
      </c>
      <c r="K202" s="2">
        <v>0</v>
      </c>
      <c r="L202" s="2">
        <v>340</v>
      </c>
      <c r="M202" s="2" t="s">
        <v>30</v>
      </c>
      <c r="N202" s="2" t="s">
        <v>64</v>
      </c>
      <c r="O202" s="2">
        <v>1</v>
      </c>
      <c r="P202" s="6">
        <f t="shared" si="24"/>
        <v>340</v>
      </c>
      <c r="Q202" s="6">
        <f t="shared" si="25"/>
        <v>0</v>
      </c>
      <c r="R202" s="6">
        <f t="shared" si="26"/>
        <v>68</v>
      </c>
      <c r="S202" s="6" t="str">
        <f t="shared" si="27"/>
        <v>Mar</v>
      </c>
      <c r="T202" s="6">
        <f t="shared" si="28"/>
        <v>2024</v>
      </c>
      <c r="U202" s="6" t="str">
        <f t="shared" si="29"/>
        <v>Fast</v>
      </c>
      <c r="V202" s="6" t="str">
        <f t="shared" si="30"/>
        <v>Normal</v>
      </c>
      <c r="W202" s="6" t="str">
        <f t="shared" si="31"/>
        <v>No</v>
      </c>
    </row>
    <row r="203" spans="1:23" x14ac:dyDescent="0.3">
      <c r="A203" s="9" t="s">
        <v>503</v>
      </c>
      <c r="B203" s="5">
        <v>45445</v>
      </c>
      <c r="C203" s="4" t="s">
        <v>263</v>
      </c>
      <c r="D203" s="4" t="s">
        <v>264</v>
      </c>
      <c r="E203" s="4" t="s">
        <v>265</v>
      </c>
      <c r="F203" s="4" t="s">
        <v>266</v>
      </c>
      <c r="G203" s="4" t="s">
        <v>69</v>
      </c>
      <c r="H203" s="4" t="s">
        <v>194</v>
      </c>
      <c r="I203" s="4">
        <v>4</v>
      </c>
      <c r="J203" s="4">
        <v>799</v>
      </c>
      <c r="K203" s="4">
        <v>20</v>
      </c>
      <c r="L203" s="4">
        <v>2556.8000000000002</v>
      </c>
      <c r="M203" s="4" t="s">
        <v>71</v>
      </c>
      <c r="N203" s="4" t="s">
        <v>37</v>
      </c>
      <c r="O203" s="4">
        <v>1</v>
      </c>
      <c r="P203" s="6">
        <f t="shared" si="24"/>
        <v>3196</v>
      </c>
      <c r="Q203" s="6">
        <f t="shared" si="25"/>
        <v>639.20000000000005</v>
      </c>
      <c r="R203" s="6">
        <f t="shared" si="26"/>
        <v>511.36000000000007</v>
      </c>
      <c r="S203" s="6" t="str">
        <f t="shared" si="27"/>
        <v>Jun</v>
      </c>
      <c r="T203" s="6">
        <f t="shared" si="28"/>
        <v>2024</v>
      </c>
      <c r="U203" s="6" t="str">
        <f t="shared" si="29"/>
        <v>Fast</v>
      </c>
      <c r="V203" s="6" t="str">
        <f t="shared" si="30"/>
        <v>Normal</v>
      </c>
      <c r="W203" s="6" t="str">
        <f t="shared" si="31"/>
        <v>Yes</v>
      </c>
    </row>
    <row r="204" spans="1:23" x14ac:dyDescent="0.3">
      <c r="A204" s="8" t="s">
        <v>504</v>
      </c>
      <c r="B204" s="3">
        <v>45120</v>
      </c>
      <c r="C204" s="2" t="s">
        <v>241</v>
      </c>
      <c r="D204" s="2" t="s">
        <v>242</v>
      </c>
      <c r="E204" s="2" t="s">
        <v>230</v>
      </c>
      <c r="F204" s="2" t="s">
        <v>19</v>
      </c>
      <c r="G204" s="2" t="s">
        <v>126</v>
      </c>
      <c r="H204" s="2" t="s">
        <v>178</v>
      </c>
      <c r="I204" s="2">
        <v>2</v>
      </c>
      <c r="J204" s="2">
        <v>2800</v>
      </c>
      <c r="K204" s="2">
        <v>10</v>
      </c>
      <c r="L204" s="2">
        <v>5040</v>
      </c>
      <c r="M204" s="2" t="s">
        <v>22</v>
      </c>
      <c r="N204" s="2" t="s">
        <v>31</v>
      </c>
      <c r="O204" s="2">
        <v>3</v>
      </c>
      <c r="P204" s="6">
        <f t="shared" si="24"/>
        <v>5600</v>
      </c>
      <c r="Q204" s="6">
        <f t="shared" si="25"/>
        <v>560</v>
      </c>
      <c r="R204" s="6">
        <f t="shared" si="26"/>
        <v>1008</v>
      </c>
      <c r="S204" s="6" t="str">
        <f t="shared" si="27"/>
        <v>Jul</v>
      </c>
      <c r="T204" s="6">
        <f t="shared" si="28"/>
        <v>2023</v>
      </c>
      <c r="U204" s="6" t="str">
        <f t="shared" si="29"/>
        <v>Fast</v>
      </c>
      <c r="V204" s="6" t="str">
        <f t="shared" si="30"/>
        <v>High Value</v>
      </c>
      <c r="W204" s="6" t="str">
        <f t="shared" si="31"/>
        <v>No</v>
      </c>
    </row>
    <row r="205" spans="1:23" x14ac:dyDescent="0.3">
      <c r="A205" s="9" t="s">
        <v>505</v>
      </c>
      <c r="B205" s="5">
        <v>45401</v>
      </c>
      <c r="C205" s="4" t="s">
        <v>465</v>
      </c>
      <c r="D205" s="4" t="s">
        <v>466</v>
      </c>
      <c r="E205" s="4" t="s">
        <v>137</v>
      </c>
      <c r="F205" s="4" t="s">
        <v>19</v>
      </c>
      <c r="G205" s="4" t="s">
        <v>28</v>
      </c>
      <c r="H205" s="4" t="s">
        <v>322</v>
      </c>
      <c r="I205" s="4">
        <v>2</v>
      </c>
      <c r="J205" s="4">
        <v>140</v>
      </c>
      <c r="K205" s="4">
        <v>10</v>
      </c>
      <c r="L205" s="4">
        <v>252</v>
      </c>
      <c r="M205" s="4" t="s">
        <v>22</v>
      </c>
      <c r="N205" s="4" t="s">
        <v>31</v>
      </c>
      <c r="O205" s="4">
        <v>1</v>
      </c>
      <c r="P205" s="6">
        <f t="shared" si="24"/>
        <v>280</v>
      </c>
      <c r="Q205" s="6">
        <f t="shared" si="25"/>
        <v>28</v>
      </c>
      <c r="R205" s="6">
        <f t="shared" si="26"/>
        <v>50.400000000000006</v>
      </c>
      <c r="S205" s="6" t="str">
        <f t="shared" si="27"/>
        <v>Apr</v>
      </c>
      <c r="T205" s="6">
        <f t="shared" si="28"/>
        <v>2024</v>
      </c>
      <c r="U205" s="6" t="str">
        <f t="shared" si="29"/>
        <v>Fast</v>
      </c>
      <c r="V205" s="6" t="str">
        <f t="shared" si="30"/>
        <v>Normal</v>
      </c>
      <c r="W205" s="6" t="str">
        <f t="shared" si="31"/>
        <v>No</v>
      </c>
    </row>
    <row r="206" spans="1:23" x14ac:dyDescent="0.3">
      <c r="A206" s="8" t="s">
        <v>506</v>
      </c>
      <c r="B206" s="3">
        <v>45294</v>
      </c>
      <c r="C206" s="2" t="s">
        <v>507</v>
      </c>
      <c r="D206" s="2" t="s">
        <v>508</v>
      </c>
      <c r="E206" s="2" t="s">
        <v>171</v>
      </c>
      <c r="F206" s="2" t="s">
        <v>19</v>
      </c>
      <c r="G206" s="2" t="s">
        <v>91</v>
      </c>
      <c r="H206" s="2" t="s">
        <v>120</v>
      </c>
      <c r="I206" s="2">
        <v>1</v>
      </c>
      <c r="J206" s="2">
        <v>22000</v>
      </c>
      <c r="K206" s="2">
        <v>0</v>
      </c>
      <c r="L206" s="2">
        <v>22000</v>
      </c>
      <c r="M206" s="2" t="s">
        <v>22</v>
      </c>
      <c r="N206" s="2" t="s">
        <v>23</v>
      </c>
      <c r="O206" s="2">
        <v>0</v>
      </c>
      <c r="P206" s="6">
        <f t="shared" si="24"/>
        <v>22000</v>
      </c>
      <c r="Q206" s="6">
        <f t="shared" si="25"/>
        <v>0</v>
      </c>
      <c r="R206" s="6">
        <f t="shared" si="26"/>
        <v>4400</v>
      </c>
      <c r="S206" s="6" t="str">
        <f t="shared" si="27"/>
        <v>Jan</v>
      </c>
      <c r="T206" s="6">
        <f t="shared" si="28"/>
        <v>2024</v>
      </c>
      <c r="U206" s="6" t="str">
        <f t="shared" si="29"/>
        <v>Fast</v>
      </c>
      <c r="V206" s="6" t="str">
        <f t="shared" si="30"/>
        <v>High Value</v>
      </c>
      <c r="W206" s="6" t="str">
        <f t="shared" si="31"/>
        <v>No</v>
      </c>
    </row>
    <row r="207" spans="1:23" x14ac:dyDescent="0.3">
      <c r="A207" s="9" t="s">
        <v>509</v>
      </c>
      <c r="B207" s="5">
        <v>44995</v>
      </c>
      <c r="C207" s="4" t="s">
        <v>373</v>
      </c>
      <c r="D207" s="4" t="s">
        <v>374</v>
      </c>
      <c r="E207" s="4" t="s">
        <v>171</v>
      </c>
      <c r="F207" s="4" t="s">
        <v>19</v>
      </c>
      <c r="G207" s="4" t="s">
        <v>20</v>
      </c>
      <c r="H207" s="4" t="s">
        <v>116</v>
      </c>
      <c r="I207" s="4">
        <v>2</v>
      </c>
      <c r="J207" s="4">
        <v>450</v>
      </c>
      <c r="K207" s="4">
        <v>0</v>
      </c>
      <c r="L207" s="4">
        <v>900</v>
      </c>
      <c r="M207" s="4" t="s">
        <v>30</v>
      </c>
      <c r="N207" s="4" t="s">
        <v>31</v>
      </c>
      <c r="O207" s="4">
        <v>2</v>
      </c>
      <c r="P207" s="6">
        <f t="shared" si="24"/>
        <v>900</v>
      </c>
      <c r="Q207" s="6">
        <f t="shared" si="25"/>
        <v>0</v>
      </c>
      <c r="R207" s="6">
        <f t="shared" si="26"/>
        <v>180</v>
      </c>
      <c r="S207" s="6" t="str">
        <f t="shared" si="27"/>
        <v>Mar</v>
      </c>
      <c r="T207" s="6">
        <f t="shared" si="28"/>
        <v>2023</v>
      </c>
      <c r="U207" s="6" t="str">
        <f t="shared" si="29"/>
        <v>Fast</v>
      </c>
      <c r="V207" s="6" t="str">
        <f t="shared" si="30"/>
        <v>Normal</v>
      </c>
      <c r="W207" s="6" t="str">
        <f t="shared" si="31"/>
        <v>No</v>
      </c>
    </row>
    <row r="208" spans="1:23" x14ac:dyDescent="0.3">
      <c r="A208" s="8" t="s">
        <v>510</v>
      </c>
      <c r="B208" s="3">
        <v>45023</v>
      </c>
      <c r="C208" s="2" t="s">
        <v>131</v>
      </c>
      <c r="D208" s="2" t="s">
        <v>132</v>
      </c>
      <c r="E208" s="2" t="s">
        <v>133</v>
      </c>
      <c r="F208" s="2" t="s">
        <v>19</v>
      </c>
      <c r="G208" s="2" t="s">
        <v>54</v>
      </c>
      <c r="H208" s="2" t="s">
        <v>467</v>
      </c>
      <c r="I208" s="2">
        <v>2</v>
      </c>
      <c r="J208" s="2">
        <v>220</v>
      </c>
      <c r="K208" s="2">
        <v>20</v>
      </c>
      <c r="L208" s="2">
        <v>352</v>
      </c>
      <c r="M208" s="2" t="s">
        <v>22</v>
      </c>
      <c r="N208" s="2" t="s">
        <v>37</v>
      </c>
      <c r="O208" s="2">
        <v>5</v>
      </c>
      <c r="P208" s="6">
        <f t="shared" si="24"/>
        <v>440</v>
      </c>
      <c r="Q208" s="6">
        <f t="shared" si="25"/>
        <v>88</v>
      </c>
      <c r="R208" s="6">
        <f t="shared" si="26"/>
        <v>70.400000000000006</v>
      </c>
      <c r="S208" s="6" t="str">
        <f t="shared" si="27"/>
        <v>Apr</v>
      </c>
      <c r="T208" s="6">
        <f t="shared" si="28"/>
        <v>2023</v>
      </c>
      <c r="U208" s="6" t="str">
        <f t="shared" si="29"/>
        <v>Delayed</v>
      </c>
      <c r="V208" s="6" t="str">
        <f t="shared" si="30"/>
        <v>Normal</v>
      </c>
      <c r="W208" s="6" t="str">
        <f t="shared" si="31"/>
        <v>No</v>
      </c>
    </row>
    <row r="209" spans="1:23" x14ac:dyDescent="0.3">
      <c r="A209" s="9" t="s">
        <v>511</v>
      </c>
      <c r="B209" s="5">
        <v>45050</v>
      </c>
      <c r="C209" s="4" t="s">
        <v>272</v>
      </c>
      <c r="D209" s="4" t="s">
        <v>273</v>
      </c>
      <c r="E209" s="4" t="s">
        <v>27</v>
      </c>
      <c r="F209" s="4" t="s">
        <v>19</v>
      </c>
      <c r="G209" s="4" t="s">
        <v>54</v>
      </c>
      <c r="H209" s="4" t="s">
        <v>84</v>
      </c>
      <c r="I209" s="4">
        <v>2</v>
      </c>
      <c r="J209" s="4">
        <v>280</v>
      </c>
      <c r="K209" s="4">
        <v>5</v>
      </c>
      <c r="L209" s="4">
        <v>532</v>
      </c>
      <c r="M209" s="4" t="s">
        <v>22</v>
      </c>
      <c r="N209" s="4" t="s">
        <v>37</v>
      </c>
      <c r="O209" s="4">
        <v>8</v>
      </c>
      <c r="P209" s="6">
        <f t="shared" si="24"/>
        <v>560</v>
      </c>
      <c r="Q209" s="6">
        <f t="shared" si="25"/>
        <v>28</v>
      </c>
      <c r="R209" s="6">
        <f t="shared" si="26"/>
        <v>106.4</v>
      </c>
      <c r="S209" s="6" t="str">
        <f t="shared" si="27"/>
        <v>May</v>
      </c>
      <c r="T209" s="6">
        <f t="shared" si="28"/>
        <v>2023</v>
      </c>
      <c r="U209" s="6" t="str">
        <f t="shared" si="29"/>
        <v>Delayed</v>
      </c>
      <c r="V209" s="6" t="str">
        <f t="shared" si="30"/>
        <v>Normal</v>
      </c>
      <c r="W209" s="6" t="str">
        <f t="shared" si="31"/>
        <v>No</v>
      </c>
    </row>
    <row r="210" spans="1:23" x14ac:dyDescent="0.3">
      <c r="A210" s="8" t="s">
        <v>512</v>
      </c>
      <c r="B210" s="3">
        <v>45403</v>
      </c>
      <c r="C210" s="2" t="s">
        <v>513</v>
      </c>
      <c r="D210" s="2" t="s">
        <v>514</v>
      </c>
      <c r="E210" s="2" t="s">
        <v>299</v>
      </c>
      <c r="F210" s="2" t="s">
        <v>19</v>
      </c>
      <c r="G210" s="2" t="s">
        <v>91</v>
      </c>
      <c r="H210" s="2" t="s">
        <v>120</v>
      </c>
      <c r="I210" s="2">
        <v>4</v>
      </c>
      <c r="J210" s="2">
        <v>22000</v>
      </c>
      <c r="K210" s="2">
        <v>0</v>
      </c>
      <c r="L210" s="2">
        <v>88000</v>
      </c>
      <c r="M210" s="2" t="s">
        <v>43</v>
      </c>
      <c r="N210" s="2" t="s">
        <v>23</v>
      </c>
      <c r="O210" s="2">
        <v>0</v>
      </c>
      <c r="P210" s="6">
        <f t="shared" si="24"/>
        <v>88000</v>
      </c>
      <c r="Q210" s="6">
        <f t="shared" si="25"/>
        <v>0</v>
      </c>
      <c r="R210" s="6">
        <f t="shared" si="26"/>
        <v>17600</v>
      </c>
      <c r="S210" s="6" t="str">
        <f t="shared" si="27"/>
        <v>Apr</v>
      </c>
      <c r="T210" s="6">
        <f t="shared" si="28"/>
        <v>2024</v>
      </c>
      <c r="U210" s="6" t="str">
        <f t="shared" si="29"/>
        <v>Fast</v>
      </c>
      <c r="V210" s="6" t="str">
        <f t="shared" si="30"/>
        <v>High Value</v>
      </c>
      <c r="W210" s="6" t="str">
        <f t="shared" si="31"/>
        <v>Yes</v>
      </c>
    </row>
    <row r="211" spans="1:23" x14ac:dyDescent="0.3">
      <c r="A211" s="9" t="s">
        <v>515</v>
      </c>
      <c r="B211" s="5">
        <v>44976</v>
      </c>
      <c r="C211" s="4" t="s">
        <v>325</v>
      </c>
      <c r="D211" s="4" t="s">
        <v>326</v>
      </c>
      <c r="E211" s="4" t="s">
        <v>270</v>
      </c>
      <c r="F211" s="4" t="s">
        <v>19</v>
      </c>
      <c r="G211" s="4" t="s">
        <v>20</v>
      </c>
      <c r="H211" s="4" t="s">
        <v>111</v>
      </c>
      <c r="I211" s="4">
        <v>4</v>
      </c>
      <c r="J211" s="4">
        <v>250</v>
      </c>
      <c r="K211" s="4">
        <v>0</v>
      </c>
      <c r="L211" s="4">
        <v>1000</v>
      </c>
      <c r="M211" s="4" t="s">
        <v>107</v>
      </c>
      <c r="N211" s="4" t="s">
        <v>31</v>
      </c>
      <c r="O211" s="4">
        <v>2</v>
      </c>
      <c r="P211" s="6">
        <f t="shared" si="24"/>
        <v>1000</v>
      </c>
      <c r="Q211" s="6">
        <f t="shared" si="25"/>
        <v>0</v>
      </c>
      <c r="R211" s="6">
        <f t="shared" si="26"/>
        <v>200</v>
      </c>
      <c r="S211" s="6" t="str">
        <f t="shared" si="27"/>
        <v>Feb</v>
      </c>
      <c r="T211" s="6">
        <f t="shared" si="28"/>
        <v>2023</v>
      </c>
      <c r="U211" s="6" t="str">
        <f t="shared" si="29"/>
        <v>Fast</v>
      </c>
      <c r="V211" s="6" t="str">
        <f t="shared" si="30"/>
        <v>Normal</v>
      </c>
      <c r="W211" s="6" t="str">
        <f t="shared" si="31"/>
        <v>Yes</v>
      </c>
    </row>
    <row r="212" spans="1:23" x14ac:dyDescent="0.3">
      <c r="A212" s="8" t="s">
        <v>516</v>
      </c>
      <c r="B212" s="3">
        <v>44965</v>
      </c>
      <c r="C212" s="2" t="s">
        <v>109</v>
      </c>
      <c r="D212" s="2" t="s">
        <v>110</v>
      </c>
      <c r="E212" s="2" t="s">
        <v>52</v>
      </c>
      <c r="F212" s="2" t="s">
        <v>53</v>
      </c>
      <c r="G212" s="2" t="s">
        <v>54</v>
      </c>
      <c r="H212" s="2" t="s">
        <v>172</v>
      </c>
      <c r="I212" s="2">
        <v>2</v>
      </c>
      <c r="J212" s="2">
        <v>130</v>
      </c>
      <c r="K212" s="2">
        <v>0</v>
      </c>
      <c r="L212" s="2">
        <v>260</v>
      </c>
      <c r="M212" s="2" t="s">
        <v>43</v>
      </c>
      <c r="N212" s="2" t="s">
        <v>31</v>
      </c>
      <c r="O212" s="2">
        <v>5</v>
      </c>
      <c r="P212" s="6">
        <f t="shared" si="24"/>
        <v>260</v>
      </c>
      <c r="Q212" s="6">
        <f t="shared" si="25"/>
        <v>0</v>
      </c>
      <c r="R212" s="6">
        <f t="shared" si="26"/>
        <v>52</v>
      </c>
      <c r="S212" s="6" t="str">
        <f t="shared" si="27"/>
        <v>Feb</v>
      </c>
      <c r="T212" s="6">
        <f t="shared" si="28"/>
        <v>2023</v>
      </c>
      <c r="U212" s="6" t="str">
        <f t="shared" si="29"/>
        <v>Delayed</v>
      </c>
      <c r="V212" s="6" t="str">
        <f t="shared" si="30"/>
        <v>Normal</v>
      </c>
      <c r="W212" s="6" t="str">
        <f t="shared" si="31"/>
        <v>No</v>
      </c>
    </row>
    <row r="213" spans="1:23" x14ac:dyDescent="0.3">
      <c r="A213" s="9" t="s">
        <v>517</v>
      </c>
      <c r="B213" s="5">
        <v>45172</v>
      </c>
      <c r="C213" s="4" t="s">
        <v>33</v>
      </c>
      <c r="D213" s="4" t="s">
        <v>34</v>
      </c>
      <c r="E213" s="4" t="s">
        <v>35</v>
      </c>
      <c r="F213" s="4" t="s">
        <v>19</v>
      </c>
      <c r="G213" s="4" t="s">
        <v>28</v>
      </c>
      <c r="H213" s="4" t="s">
        <v>29</v>
      </c>
      <c r="I213" s="4">
        <v>1</v>
      </c>
      <c r="J213" s="4">
        <v>1200</v>
      </c>
      <c r="K213" s="4">
        <v>5</v>
      </c>
      <c r="L213" s="4">
        <v>1140</v>
      </c>
      <c r="M213" s="4" t="s">
        <v>30</v>
      </c>
      <c r="N213" s="4" t="s">
        <v>37</v>
      </c>
      <c r="O213" s="4">
        <v>2</v>
      </c>
      <c r="P213" s="6">
        <f t="shared" si="24"/>
        <v>1200</v>
      </c>
      <c r="Q213" s="6">
        <f t="shared" si="25"/>
        <v>60</v>
      </c>
      <c r="R213" s="6">
        <f t="shared" si="26"/>
        <v>228</v>
      </c>
      <c r="S213" s="6" t="str">
        <f t="shared" si="27"/>
        <v>Sep</v>
      </c>
      <c r="T213" s="6">
        <f t="shared" si="28"/>
        <v>2023</v>
      </c>
      <c r="U213" s="6" t="str">
        <f t="shared" si="29"/>
        <v>Fast</v>
      </c>
      <c r="V213" s="6" t="str">
        <f t="shared" si="30"/>
        <v>Normal</v>
      </c>
      <c r="W213" s="6" t="str">
        <f t="shared" si="31"/>
        <v>Yes</v>
      </c>
    </row>
    <row r="214" spans="1:23" x14ac:dyDescent="0.3">
      <c r="A214" s="8" t="s">
        <v>518</v>
      </c>
      <c r="B214" s="3">
        <v>45245</v>
      </c>
      <c r="C214" s="2" t="s">
        <v>403</v>
      </c>
      <c r="D214" s="2" t="s">
        <v>404</v>
      </c>
      <c r="E214" s="2" t="s">
        <v>270</v>
      </c>
      <c r="F214" s="2" t="s">
        <v>19</v>
      </c>
      <c r="G214" s="2" t="s">
        <v>47</v>
      </c>
      <c r="H214" s="2" t="s">
        <v>102</v>
      </c>
      <c r="I214" s="2">
        <v>2</v>
      </c>
      <c r="J214" s="2">
        <v>2200</v>
      </c>
      <c r="K214" s="2">
        <v>0</v>
      </c>
      <c r="L214" s="2">
        <v>4400</v>
      </c>
      <c r="M214" s="2" t="s">
        <v>43</v>
      </c>
      <c r="N214" s="2" t="s">
        <v>37</v>
      </c>
      <c r="O214" s="2">
        <v>4</v>
      </c>
      <c r="P214" s="6">
        <f t="shared" si="24"/>
        <v>4400</v>
      </c>
      <c r="Q214" s="6">
        <f t="shared" si="25"/>
        <v>0</v>
      </c>
      <c r="R214" s="6">
        <f t="shared" si="26"/>
        <v>880</v>
      </c>
      <c r="S214" s="6" t="str">
        <f t="shared" si="27"/>
        <v>Nov</v>
      </c>
      <c r="T214" s="6">
        <f t="shared" si="28"/>
        <v>2023</v>
      </c>
      <c r="U214" s="6" t="str">
        <f t="shared" si="29"/>
        <v>Delayed</v>
      </c>
      <c r="V214" s="6" t="str">
        <f t="shared" si="30"/>
        <v>Normal</v>
      </c>
      <c r="W214" s="6" t="str">
        <f t="shared" si="31"/>
        <v>No</v>
      </c>
    </row>
    <row r="215" spans="1:23" x14ac:dyDescent="0.3">
      <c r="A215" s="9" t="s">
        <v>519</v>
      </c>
      <c r="B215" s="5">
        <v>45031</v>
      </c>
      <c r="C215" s="4" t="s">
        <v>140</v>
      </c>
      <c r="D215" s="4" t="s">
        <v>141</v>
      </c>
      <c r="E215" s="4" t="s">
        <v>68</v>
      </c>
      <c r="F215" s="4" t="s">
        <v>19</v>
      </c>
      <c r="G215" s="4" t="s">
        <v>20</v>
      </c>
      <c r="H215" s="4" t="s">
        <v>42</v>
      </c>
      <c r="I215" s="4">
        <v>2</v>
      </c>
      <c r="J215" s="4">
        <v>1100</v>
      </c>
      <c r="K215" s="4">
        <v>10</v>
      </c>
      <c r="L215" s="4">
        <v>1980</v>
      </c>
      <c r="M215" s="4" t="s">
        <v>30</v>
      </c>
      <c r="N215" s="4" t="s">
        <v>37</v>
      </c>
      <c r="O215" s="4">
        <v>6</v>
      </c>
      <c r="P215" s="6">
        <f t="shared" si="24"/>
        <v>2200</v>
      </c>
      <c r="Q215" s="6">
        <f t="shared" si="25"/>
        <v>220</v>
      </c>
      <c r="R215" s="6">
        <f t="shared" si="26"/>
        <v>396</v>
      </c>
      <c r="S215" s="6" t="str">
        <f t="shared" si="27"/>
        <v>Apr</v>
      </c>
      <c r="T215" s="6">
        <f t="shared" si="28"/>
        <v>2023</v>
      </c>
      <c r="U215" s="6" t="str">
        <f t="shared" si="29"/>
        <v>Delayed</v>
      </c>
      <c r="V215" s="6" t="str">
        <f t="shared" si="30"/>
        <v>Normal</v>
      </c>
      <c r="W215" s="6" t="str">
        <f t="shared" si="31"/>
        <v>Yes</v>
      </c>
    </row>
    <row r="216" spans="1:23" x14ac:dyDescent="0.3">
      <c r="A216" s="8" t="s">
        <v>520</v>
      </c>
      <c r="B216" s="3">
        <v>44984</v>
      </c>
      <c r="C216" s="2" t="s">
        <v>421</v>
      </c>
      <c r="D216" s="2" t="s">
        <v>377</v>
      </c>
      <c r="E216" s="2" t="s">
        <v>147</v>
      </c>
      <c r="F216" s="2" t="s">
        <v>19</v>
      </c>
      <c r="G216" s="2" t="s">
        <v>28</v>
      </c>
      <c r="H216" s="2" t="s">
        <v>487</v>
      </c>
      <c r="I216" s="2">
        <v>1</v>
      </c>
      <c r="J216" s="2">
        <v>180</v>
      </c>
      <c r="K216" s="2">
        <v>0</v>
      </c>
      <c r="L216" s="2">
        <v>180</v>
      </c>
      <c r="M216" s="2" t="s">
        <v>107</v>
      </c>
      <c r="N216" s="2" t="s">
        <v>37</v>
      </c>
      <c r="O216" s="2">
        <v>9</v>
      </c>
      <c r="P216" s="6">
        <f t="shared" si="24"/>
        <v>180</v>
      </c>
      <c r="Q216" s="6">
        <f t="shared" si="25"/>
        <v>0</v>
      </c>
      <c r="R216" s="6">
        <f t="shared" si="26"/>
        <v>36</v>
      </c>
      <c r="S216" s="6" t="str">
        <f t="shared" si="27"/>
        <v>Feb</v>
      </c>
      <c r="T216" s="6">
        <f t="shared" si="28"/>
        <v>2023</v>
      </c>
      <c r="U216" s="6" t="str">
        <f t="shared" si="29"/>
        <v>Delayed</v>
      </c>
      <c r="V216" s="6" t="str">
        <f t="shared" si="30"/>
        <v>Normal</v>
      </c>
      <c r="W216" s="6" t="str">
        <f t="shared" si="31"/>
        <v>No</v>
      </c>
    </row>
    <row r="217" spans="1:23" x14ac:dyDescent="0.3">
      <c r="A217" s="9" t="s">
        <v>521</v>
      </c>
      <c r="B217" s="5">
        <v>45213</v>
      </c>
      <c r="C217" s="4" t="s">
        <v>373</v>
      </c>
      <c r="D217" s="4" t="s">
        <v>374</v>
      </c>
      <c r="E217" s="4" t="s">
        <v>171</v>
      </c>
      <c r="F217" s="4" t="s">
        <v>19</v>
      </c>
      <c r="G217" s="4" t="s">
        <v>20</v>
      </c>
      <c r="H217" s="4" t="s">
        <v>116</v>
      </c>
      <c r="I217" s="4">
        <v>1</v>
      </c>
      <c r="J217" s="4">
        <v>450</v>
      </c>
      <c r="K217" s="4">
        <v>5</v>
      </c>
      <c r="L217" s="4">
        <v>427.5</v>
      </c>
      <c r="M217" s="4" t="s">
        <v>43</v>
      </c>
      <c r="N217" s="4" t="s">
        <v>23</v>
      </c>
      <c r="O217" s="4">
        <v>0</v>
      </c>
      <c r="P217" s="6">
        <f t="shared" si="24"/>
        <v>450</v>
      </c>
      <c r="Q217" s="6">
        <f t="shared" si="25"/>
        <v>22.5</v>
      </c>
      <c r="R217" s="6">
        <f t="shared" si="26"/>
        <v>85.5</v>
      </c>
      <c r="S217" s="6" t="str">
        <f t="shared" si="27"/>
        <v>Oct</v>
      </c>
      <c r="T217" s="6">
        <f t="shared" si="28"/>
        <v>2023</v>
      </c>
      <c r="U217" s="6" t="str">
        <f t="shared" si="29"/>
        <v>Fast</v>
      </c>
      <c r="V217" s="6" t="str">
        <f t="shared" si="30"/>
        <v>Normal</v>
      </c>
      <c r="W217" s="6" t="str">
        <f t="shared" si="31"/>
        <v>Yes</v>
      </c>
    </row>
    <row r="218" spans="1:23" x14ac:dyDescent="0.3">
      <c r="A218" s="8" t="s">
        <v>522</v>
      </c>
      <c r="B218" s="3">
        <v>45245</v>
      </c>
      <c r="C218" s="2" t="s">
        <v>523</v>
      </c>
      <c r="D218" s="2" t="s">
        <v>524</v>
      </c>
      <c r="E218" s="2" t="s">
        <v>18</v>
      </c>
      <c r="F218" s="2" t="s">
        <v>19</v>
      </c>
      <c r="G218" s="2" t="s">
        <v>69</v>
      </c>
      <c r="H218" s="2" t="s">
        <v>194</v>
      </c>
      <c r="I218" s="2">
        <v>2</v>
      </c>
      <c r="J218" s="2">
        <v>799</v>
      </c>
      <c r="K218" s="2">
        <v>20</v>
      </c>
      <c r="L218" s="2">
        <v>1278.4000000000001</v>
      </c>
      <c r="M218" s="2" t="s">
        <v>22</v>
      </c>
      <c r="N218" s="2" t="s">
        <v>37</v>
      </c>
      <c r="O218" s="2">
        <v>9</v>
      </c>
      <c r="P218" s="6">
        <f t="shared" si="24"/>
        <v>1598</v>
      </c>
      <c r="Q218" s="6">
        <f t="shared" si="25"/>
        <v>319.60000000000002</v>
      </c>
      <c r="R218" s="6">
        <f t="shared" si="26"/>
        <v>255.68000000000004</v>
      </c>
      <c r="S218" s="6" t="str">
        <f t="shared" si="27"/>
        <v>Nov</v>
      </c>
      <c r="T218" s="6">
        <f t="shared" si="28"/>
        <v>2023</v>
      </c>
      <c r="U218" s="6" t="str">
        <f t="shared" si="29"/>
        <v>Delayed</v>
      </c>
      <c r="V218" s="6" t="str">
        <f t="shared" si="30"/>
        <v>Normal</v>
      </c>
      <c r="W218" s="6" t="str">
        <f t="shared" si="31"/>
        <v>No</v>
      </c>
    </row>
    <row r="219" spans="1:23" x14ac:dyDescent="0.3">
      <c r="A219" s="9" t="s">
        <v>525</v>
      </c>
      <c r="B219" s="5">
        <v>45228</v>
      </c>
      <c r="C219" s="4" t="s">
        <v>180</v>
      </c>
      <c r="D219" s="4" t="s">
        <v>181</v>
      </c>
      <c r="E219" s="4" t="s">
        <v>35</v>
      </c>
      <c r="F219" s="4" t="s">
        <v>19</v>
      </c>
      <c r="G219" s="4" t="s">
        <v>20</v>
      </c>
      <c r="H219" s="4" t="s">
        <v>111</v>
      </c>
      <c r="I219" s="4">
        <v>2</v>
      </c>
      <c r="J219" s="4">
        <v>250</v>
      </c>
      <c r="K219" s="4">
        <v>0</v>
      </c>
      <c r="L219" s="4">
        <v>500</v>
      </c>
      <c r="M219" s="4" t="s">
        <v>43</v>
      </c>
      <c r="N219" s="4" t="s">
        <v>37</v>
      </c>
      <c r="O219" s="4">
        <v>4</v>
      </c>
      <c r="P219" s="6">
        <f t="shared" si="24"/>
        <v>500</v>
      </c>
      <c r="Q219" s="6">
        <f t="shared" si="25"/>
        <v>0</v>
      </c>
      <c r="R219" s="6">
        <f t="shared" si="26"/>
        <v>100</v>
      </c>
      <c r="S219" s="6" t="str">
        <f t="shared" si="27"/>
        <v>Oct</v>
      </c>
      <c r="T219" s="6">
        <f t="shared" si="28"/>
        <v>2023</v>
      </c>
      <c r="U219" s="6" t="str">
        <f t="shared" si="29"/>
        <v>Delayed</v>
      </c>
      <c r="V219" s="6" t="str">
        <f t="shared" si="30"/>
        <v>Normal</v>
      </c>
      <c r="W219" s="6" t="str">
        <f t="shared" si="31"/>
        <v>Yes</v>
      </c>
    </row>
    <row r="220" spans="1:23" x14ac:dyDescent="0.3">
      <c r="A220" s="8" t="s">
        <v>526</v>
      </c>
      <c r="B220" s="3">
        <v>45064</v>
      </c>
      <c r="C220" s="2" t="s">
        <v>219</v>
      </c>
      <c r="D220" s="2" t="s">
        <v>220</v>
      </c>
      <c r="E220" s="2" t="s">
        <v>159</v>
      </c>
      <c r="F220" s="2" t="s">
        <v>19</v>
      </c>
      <c r="G220" s="2" t="s">
        <v>126</v>
      </c>
      <c r="H220" s="2" t="s">
        <v>308</v>
      </c>
      <c r="I220" s="2">
        <v>2</v>
      </c>
      <c r="J220" s="2">
        <v>1500</v>
      </c>
      <c r="K220" s="2">
        <v>0</v>
      </c>
      <c r="L220" s="2">
        <v>3000</v>
      </c>
      <c r="M220" s="2" t="s">
        <v>30</v>
      </c>
      <c r="N220" s="2" t="s">
        <v>37</v>
      </c>
      <c r="O220" s="2">
        <v>5</v>
      </c>
      <c r="P220" s="6">
        <f t="shared" si="24"/>
        <v>3000</v>
      </c>
      <c r="Q220" s="6">
        <f t="shared" si="25"/>
        <v>0</v>
      </c>
      <c r="R220" s="6">
        <f t="shared" si="26"/>
        <v>600</v>
      </c>
      <c r="S220" s="6" t="str">
        <f t="shared" si="27"/>
        <v>May</v>
      </c>
      <c r="T220" s="6">
        <f t="shared" si="28"/>
        <v>2023</v>
      </c>
      <c r="U220" s="6" t="str">
        <f t="shared" si="29"/>
        <v>Delayed</v>
      </c>
      <c r="V220" s="6" t="str">
        <f t="shared" si="30"/>
        <v>Normal</v>
      </c>
      <c r="W220" s="6" t="str">
        <f t="shared" si="31"/>
        <v>No</v>
      </c>
    </row>
    <row r="221" spans="1:23" x14ac:dyDescent="0.3">
      <c r="A221" s="9" t="s">
        <v>527</v>
      </c>
      <c r="B221" s="5">
        <v>45369</v>
      </c>
      <c r="C221" s="4" t="s">
        <v>104</v>
      </c>
      <c r="D221" s="4" t="s">
        <v>105</v>
      </c>
      <c r="E221" s="4" t="s">
        <v>106</v>
      </c>
      <c r="F221" s="4" t="s">
        <v>19</v>
      </c>
      <c r="G221" s="4" t="s">
        <v>149</v>
      </c>
      <c r="H221" s="4" t="s">
        <v>334</v>
      </c>
      <c r="I221" s="4">
        <v>4</v>
      </c>
      <c r="J221" s="4">
        <v>750</v>
      </c>
      <c r="K221" s="4">
        <v>5</v>
      </c>
      <c r="L221" s="4">
        <v>2850</v>
      </c>
      <c r="M221" s="4" t="s">
        <v>143</v>
      </c>
      <c r="N221" s="4" t="s">
        <v>31</v>
      </c>
      <c r="O221" s="4">
        <v>3</v>
      </c>
      <c r="P221" s="6">
        <f t="shared" si="24"/>
        <v>3000</v>
      </c>
      <c r="Q221" s="6">
        <f t="shared" si="25"/>
        <v>150</v>
      </c>
      <c r="R221" s="6">
        <f t="shared" si="26"/>
        <v>570</v>
      </c>
      <c r="S221" s="6" t="str">
        <f t="shared" si="27"/>
        <v>Mar</v>
      </c>
      <c r="T221" s="6">
        <f t="shared" si="28"/>
        <v>2024</v>
      </c>
      <c r="U221" s="6" t="str">
        <f t="shared" si="29"/>
        <v>Fast</v>
      </c>
      <c r="V221" s="6" t="str">
        <f t="shared" si="30"/>
        <v>Normal</v>
      </c>
      <c r="W221" s="6" t="str">
        <f t="shared" si="31"/>
        <v>No</v>
      </c>
    </row>
    <row r="222" spans="1:23" x14ac:dyDescent="0.3">
      <c r="A222" s="8" t="s">
        <v>528</v>
      </c>
      <c r="B222" s="3">
        <v>44950</v>
      </c>
      <c r="C222" s="2" t="s">
        <v>529</v>
      </c>
      <c r="D222" s="2" t="s">
        <v>530</v>
      </c>
      <c r="E222" s="2" t="s">
        <v>137</v>
      </c>
      <c r="F222" s="2" t="s">
        <v>19</v>
      </c>
      <c r="G222" s="2" t="s">
        <v>149</v>
      </c>
      <c r="H222" s="2" t="s">
        <v>226</v>
      </c>
      <c r="I222" s="2">
        <v>2</v>
      </c>
      <c r="J222" s="2">
        <v>350</v>
      </c>
      <c r="K222" s="2">
        <v>5</v>
      </c>
      <c r="L222" s="2">
        <v>665</v>
      </c>
      <c r="M222" s="2" t="s">
        <v>143</v>
      </c>
      <c r="N222" s="2" t="s">
        <v>37</v>
      </c>
      <c r="O222" s="2">
        <v>9</v>
      </c>
      <c r="P222" s="6">
        <f t="shared" si="24"/>
        <v>700</v>
      </c>
      <c r="Q222" s="6">
        <f t="shared" si="25"/>
        <v>35</v>
      </c>
      <c r="R222" s="6">
        <f t="shared" si="26"/>
        <v>133</v>
      </c>
      <c r="S222" s="6" t="str">
        <f t="shared" si="27"/>
        <v>Jan</v>
      </c>
      <c r="T222" s="6">
        <f t="shared" si="28"/>
        <v>2023</v>
      </c>
      <c r="U222" s="6" t="str">
        <f t="shared" si="29"/>
        <v>Delayed</v>
      </c>
      <c r="V222" s="6" t="str">
        <f t="shared" si="30"/>
        <v>Normal</v>
      </c>
      <c r="W222" s="6" t="str">
        <f t="shared" si="31"/>
        <v>No</v>
      </c>
    </row>
    <row r="223" spans="1:23" x14ac:dyDescent="0.3">
      <c r="A223" s="9" t="s">
        <v>531</v>
      </c>
      <c r="B223" s="5">
        <v>45278</v>
      </c>
      <c r="C223" s="4" t="s">
        <v>45</v>
      </c>
      <c r="D223" s="4" t="s">
        <v>46</v>
      </c>
      <c r="E223" s="4" t="s">
        <v>27</v>
      </c>
      <c r="F223" s="4" t="s">
        <v>19</v>
      </c>
      <c r="G223" s="4" t="s">
        <v>126</v>
      </c>
      <c r="H223" s="4" t="s">
        <v>178</v>
      </c>
      <c r="I223" s="4">
        <v>3</v>
      </c>
      <c r="J223" s="4">
        <v>2800</v>
      </c>
      <c r="K223" s="4">
        <v>10</v>
      </c>
      <c r="L223" s="4">
        <v>7560</v>
      </c>
      <c r="M223" s="4" t="s">
        <v>43</v>
      </c>
      <c r="N223" s="4" t="s">
        <v>31</v>
      </c>
      <c r="O223" s="4">
        <v>2</v>
      </c>
      <c r="P223" s="6">
        <f t="shared" si="24"/>
        <v>8400</v>
      </c>
      <c r="Q223" s="6">
        <f t="shared" si="25"/>
        <v>840</v>
      </c>
      <c r="R223" s="6">
        <f t="shared" si="26"/>
        <v>1512</v>
      </c>
      <c r="S223" s="6" t="str">
        <f t="shared" si="27"/>
        <v>Dec</v>
      </c>
      <c r="T223" s="6">
        <f t="shared" si="28"/>
        <v>2023</v>
      </c>
      <c r="U223" s="6" t="str">
        <f t="shared" si="29"/>
        <v>Fast</v>
      </c>
      <c r="V223" s="6" t="str">
        <f t="shared" si="30"/>
        <v>High Value</v>
      </c>
      <c r="W223" s="6" t="str">
        <f t="shared" si="31"/>
        <v>No</v>
      </c>
    </row>
    <row r="224" spans="1:23" x14ac:dyDescent="0.3">
      <c r="A224" s="8" t="s">
        <v>532</v>
      </c>
      <c r="B224" s="3">
        <v>45442</v>
      </c>
      <c r="C224" s="2" t="s">
        <v>234</v>
      </c>
      <c r="D224" s="2" t="s">
        <v>235</v>
      </c>
      <c r="E224" s="2" t="s">
        <v>52</v>
      </c>
      <c r="F224" s="2" t="s">
        <v>53</v>
      </c>
      <c r="G224" s="2" t="s">
        <v>47</v>
      </c>
      <c r="H224" s="2" t="s">
        <v>379</v>
      </c>
      <c r="I224" s="2">
        <v>2</v>
      </c>
      <c r="J224" s="2">
        <v>950</v>
      </c>
      <c r="K224" s="2">
        <v>0</v>
      </c>
      <c r="L224" s="2">
        <v>1900</v>
      </c>
      <c r="M224" s="2" t="s">
        <v>143</v>
      </c>
      <c r="N224" s="2" t="s">
        <v>37</v>
      </c>
      <c r="O224" s="2">
        <v>5</v>
      </c>
      <c r="P224" s="6">
        <f t="shared" si="24"/>
        <v>1900</v>
      </c>
      <c r="Q224" s="6">
        <f t="shared" si="25"/>
        <v>0</v>
      </c>
      <c r="R224" s="6">
        <f t="shared" si="26"/>
        <v>380</v>
      </c>
      <c r="S224" s="6" t="str">
        <f t="shared" si="27"/>
        <v>May</v>
      </c>
      <c r="T224" s="6">
        <f t="shared" si="28"/>
        <v>2024</v>
      </c>
      <c r="U224" s="6" t="str">
        <f t="shared" si="29"/>
        <v>Delayed</v>
      </c>
      <c r="V224" s="6" t="str">
        <f t="shared" si="30"/>
        <v>Normal</v>
      </c>
      <c r="W224" s="6" t="str">
        <f t="shared" si="31"/>
        <v>No</v>
      </c>
    </row>
    <row r="225" spans="1:23" x14ac:dyDescent="0.3">
      <c r="A225" s="9" t="s">
        <v>533</v>
      </c>
      <c r="B225" s="5">
        <v>45245</v>
      </c>
      <c r="C225" s="4" t="s">
        <v>122</v>
      </c>
      <c r="D225" s="4" t="s">
        <v>123</v>
      </c>
      <c r="E225" s="4" t="s">
        <v>68</v>
      </c>
      <c r="F225" s="4" t="s">
        <v>19</v>
      </c>
      <c r="G225" s="4" t="s">
        <v>28</v>
      </c>
      <c r="H225" s="4" t="s">
        <v>487</v>
      </c>
      <c r="I225" s="4">
        <v>1</v>
      </c>
      <c r="J225" s="4">
        <v>180</v>
      </c>
      <c r="K225" s="4">
        <v>5</v>
      </c>
      <c r="L225" s="4">
        <v>171</v>
      </c>
      <c r="M225" s="4" t="s">
        <v>22</v>
      </c>
      <c r="N225" s="4" t="s">
        <v>37</v>
      </c>
      <c r="O225" s="4">
        <v>8</v>
      </c>
      <c r="P225" s="6">
        <f t="shared" si="24"/>
        <v>180</v>
      </c>
      <c r="Q225" s="6">
        <f t="shared" si="25"/>
        <v>9</v>
      </c>
      <c r="R225" s="6">
        <f t="shared" si="26"/>
        <v>34.200000000000003</v>
      </c>
      <c r="S225" s="6" t="str">
        <f t="shared" si="27"/>
        <v>Nov</v>
      </c>
      <c r="T225" s="6">
        <f t="shared" si="28"/>
        <v>2023</v>
      </c>
      <c r="U225" s="6" t="str">
        <f t="shared" si="29"/>
        <v>Delayed</v>
      </c>
      <c r="V225" s="6" t="str">
        <f t="shared" si="30"/>
        <v>Normal</v>
      </c>
      <c r="W225" s="6" t="str">
        <f t="shared" si="31"/>
        <v>No</v>
      </c>
    </row>
    <row r="226" spans="1:23" x14ac:dyDescent="0.3">
      <c r="A226" s="8" t="s">
        <v>534</v>
      </c>
      <c r="B226" s="3">
        <v>44973</v>
      </c>
      <c r="C226" s="2" t="s">
        <v>314</v>
      </c>
      <c r="D226" s="2" t="s">
        <v>315</v>
      </c>
      <c r="E226" s="2" t="s">
        <v>260</v>
      </c>
      <c r="F226" s="2" t="s">
        <v>19</v>
      </c>
      <c r="G226" s="2" t="s">
        <v>91</v>
      </c>
      <c r="H226" s="2" t="s">
        <v>124</v>
      </c>
      <c r="I226" s="2">
        <v>3</v>
      </c>
      <c r="J226" s="2">
        <v>18000</v>
      </c>
      <c r="K226" s="2">
        <v>10</v>
      </c>
      <c r="L226" s="2">
        <v>48600</v>
      </c>
      <c r="M226" s="2" t="s">
        <v>143</v>
      </c>
      <c r="N226" s="2" t="s">
        <v>37</v>
      </c>
      <c r="O226" s="2">
        <v>9</v>
      </c>
      <c r="P226" s="6">
        <f t="shared" si="24"/>
        <v>54000</v>
      </c>
      <c r="Q226" s="6">
        <f t="shared" si="25"/>
        <v>5400</v>
      </c>
      <c r="R226" s="6">
        <f t="shared" si="26"/>
        <v>9720</v>
      </c>
      <c r="S226" s="6" t="str">
        <f t="shared" si="27"/>
        <v>Feb</v>
      </c>
      <c r="T226" s="6">
        <f t="shared" si="28"/>
        <v>2023</v>
      </c>
      <c r="U226" s="6" t="str">
        <f t="shared" si="29"/>
        <v>Delayed</v>
      </c>
      <c r="V226" s="6" t="str">
        <f t="shared" si="30"/>
        <v>High Value</v>
      </c>
      <c r="W226" s="6" t="str">
        <f t="shared" si="31"/>
        <v>No</v>
      </c>
    </row>
    <row r="227" spans="1:23" x14ac:dyDescent="0.3">
      <c r="A227" s="9" t="s">
        <v>535</v>
      </c>
      <c r="B227" s="5">
        <v>45101</v>
      </c>
      <c r="C227" s="4" t="s">
        <v>400</v>
      </c>
      <c r="D227" s="4" t="s">
        <v>401</v>
      </c>
      <c r="E227" s="4" t="s">
        <v>137</v>
      </c>
      <c r="F227" s="4" t="s">
        <v>19</v>
      </c>
      <c r="G227" s="4" t="s">
        <v>149</v>
      </c>
      <c r="H227" s="4" t="s">
        <v>334</v>
      </c>
      <c r="I227" s="4">
        <v>4</v>
      </c>
      <c r="J227" s="4">
        <v>750</v>
      </c>
      <c r="K227" s="4">
        <v>15</v>
      </c>
      <c r="L227" s="4">
        <v>2550</v>
      </c>
      <c r="M227" s="4" t="s">
        <v>43</v>
      </c>
      <c r="N227" s="4" t="s">
        <v>37</v>
      </c>
      <c r="O227" s="4">
        <v>4</v>
      </c>
      <c r="P227" s="6">
        <f t="shared" si="24"/>
        <v>3000</v>
      </c>
      <c r="Q227" s="6">
        <f t="shared" si="25"/>
        <v>450</v>
      </c>
      <c r="R227" s="6">
        <f t="shared" si="26"/>
        <v>510</v>
      </c>
      <c r="S227" s="6" t="str">
        <f t="shared" si="27"/>
        <v>Jun</v>
      </c>
      <c r="T227" s="6">
        <f t="shared" si="28"/>
        <v>2023</v>
      </c>
      <c r="U227" s="6" t="str">
        <f t="shared" si="29"/>
        <v>Delayed</v>
      </c>
      <c r="V227" s="6" t="str">
        <f t="shared" si="30"/>
        <v>Normal</v>
      </c>
      <c r="W227" s="6" t="str">
        <f t="shared" si="31"/>
        <v>Yes</v>
      </c>
    </row>
    <row r="228" spans="1:23" x14ac:dyDescent="0.3">
      <c r="A228" s="8" t="s">
        <v>536</v>
      </c>
      <c r="B228" s="3">
        <v>45437</v>
      </c>
      <c r="C228" s="2" t="s">
        <v>318</v>
      </c>
      <c r="D228" s="2" t="s">
        <v>319</v>
      </c>
      <c r="E228" s="2" t="s">
        <v>270</v>
      </c>
      <c r="F228" s="2" t="s">
        <v>19</v>
      </c>
      <c r="G228" s="2" t="s">
        <v>20</v>
      </c>
      <c r="H228" s="2" t="s">
        <v>327</v>
      </c>
      <c r="I228" s="2">
        <v>1</v>
      </c>
      <c r="J228" s="2">
        <v>950</v>
      </c>
      <c r="K228" s="2">
        <v>0</v>
      </c>
      <c r="L228" s="2">
        <v>950</v>
      </c>
      <c r="M228" s="2" t="s">
        <v>107</v>
      </c>
      <c r="N228" s="2" t="s">
        <v>37</v>
      </c>
      <c r="O228" s="2">
        <v>10</v>
      </c>
      <c r="P228" s="6">
        <f t="shared" si="24"/>
        <v>950</v>
      </c>
      <c r="Q228" s="6">
        <f t="shared" si="25"/>
        <v>0</v>
      </c>
      <c r="R228" s="6">
        <f t="shared" si="26"/>
        <v>190</v>
      </c>
      <c r="S228" s="6" t="str">
        <f t="shared" si="27"/>
        <v>May</v>
      </c>
      <c r="T228" s="6">
        <f t="shared" si="28"/>
        <v>2024</v>
      </c>
      <c r="U228" s="6" t="str">
        <f t="shared" si="29"/>
        <v>Delayed</v>
      </c>
      <c r="V228" s="6" t="str">
        <f t="shared" si="30"/>
        <v>Normal</v>
      </c>
      <c r="W228" s="6" t="str">
        <f t="shared" si="31"/>
        <v>Yes</v>
      </c>
    </row>
    <row r="229" spans="1:23" x14ac:dyDescent="0.3">
      <c r="A229" s="9" t="s">
        <v>537</v>
      </c>
      <c r="B229" s="5">
        <v>45143</v>
      </c>
      <c r="C229" s="4" t="s">
        <v>302</v>
      </c>
      <c r="D229" s="4" t="s">
        <v>303</v>
      </c>
      <c r="E229" s="4" t="s">
        <v>230</v>
      </c>
      <c r="F229" s="4" t="s">
        <v>19</v>
      </c>
      <c r="G229" s="4" t="s">
        <v>47</v>
      </c>
      <c r="H229" s="4" t="s">
        <v>379</v>
      </c>
      <c r="I229" s="4">
        <v>2</v>
      </c>
      <c r="J229" s="4">
        <v>950</v>
      </c>
      <c r="K229" s="4">
        <v>0</v>
      </c>
      <c r="L229" s="4">
        <v>1900</v>
      </c>
      <c r="M229" s="4" t="s">
        <v>43</v>
      </c>
      <c r="N229" s="4" t="s">
        <v>37</v>
      </c>
      <c r="O229" s="4">
        <v>2</v>
      </c>
      <c r="P229" s="6">
        <f t="shared" si="24"/>
        <v>1900</v>
      </c>
      <c r="Q229" s="6">
        <f t="shared" si="25"/>
        <v>0</v>
      </c>
      <c r="R229" s="6">
        <f t="shared" si="26"/>
        <v>380</v>
      </c>
      <c r="S229" s="6" t="str">
        <f t="shared" si="27"/>
        <v>Aug</v>
      </c>
      <c r="T229" s="6">
        <f t="shared" si="28"/>
        <v>2023</v>
      </c>
      <c r="U229" s="6" t="str">
        <f t="shared" si="29"/>
        <v>Fast</v>
      </c>
      <c r="V229" s="6" t="str">
        <f t="shared" si="30"/>
        <v>Normal</v>
      </c>
      <c r="W229" s="6" t="str">
        <f t="shared" si="31"/>
        <v>Yes</v>
      </c>
    </row>
    <row r="230" spans="1:23" x14ac:dyDescent="0.3">
      <c r="A230" s="8" t="s">
        <v>538</v>
      </c>
      <c r="B230" s="3">
        <v>45029</v>
      </c>
      <c r="C230" s="2" t="s">
        <v>400</v>
      </c>
      <c r="D230" s="2" t="s">
        <v>401</v>
      </c>
      <c r="E230" s="2" t="s">
        <v>137</v>
      </c>
      <c r="F230" s="2" t="s">
        <v>19</v>
      </c>
      <c r="G230" s="2" t="s">
        <v>47</v>
      </c>
      <c r="H230" s="2" t="s">
        <v>102</v>
      </c>
      <c r="I230" s="2">
        <v>4</v>
      </c>
      <c r="J230" s="2">
        <v>2200</v>
      </c>
      <c r="K230" s="2">
        <v>10</v>
      </c>
      <c r="L230" s="2">
        <v>7920</v>
      </c>
      <c r="M230" s="2" t="s">
        <v>71</v>
      </c>
      <c r="N230" s="2" t="s">
        <v>37</v>
      </c>
      <c r="O230" s="2">
        <v>10</v>
      </c>
      <c r="P230" s="6">
        <f t="shared" si="24"/>
        <v>8800</v>
      </c>
      <c r="Q230" s="6">
        <f t="shared" si="25"/>
        <v>880</v>
      </c>
      <c r="R230" s="6">
        <f t="shared" si="26"/>
        <v>1584</v>
      </c>
      <c r="S230" s="6" t="str">
        <f t="shared" si="27"/>
        <v>Apr</v>
      </c>
      <c r="T230" s="6">
        <f t="shared" si="28"/>
        <v>2023</v>
      </c>
      <c r="U230" s="6" t="str">
        <f t="shared" si="29"/>
        <v>Delayed</v>
      </c>
      <c r="V230" s="6" t="str">
        <f t="shared" si="30"/>
        <v>High Value</v>
      </c>
      <c r="W230" s="6" t="str">
        <f t="shared" si="31"/>
        <v>No</v>
      </c>
    </row>
    <row r="231" spans="1:23" x14ac:dyDescent="0.3">
      <c r="A231" s="9" t="s">
        <v>539</v>
      </c>
      <c r="B231" s="5">
        <v>44953</v>
      </c>
      <c r="C231" s="4" t="s">
        <v>191</v>
      </c>
      <c r="D231" s="4" t="s">
        <v>192</v>
      </c>
      <c r="E231" s="4" t="s">
        <v>106</v>
      </c>
      <c r="F231" s="4" t="s">
        <v>19</v>
      </c>
      <c r="G231" s="4" t="s">
        <v>69</v>
      </c>
      <c r="H231" s="4" t="s">
        <v>482</v>
      </c>
      <c r="I231" s="4">
        <v>3</v>
      </c>
      <c r="J231" s="4">
        <v>2800</v>
      </c>
      <c r="K231" s="4">
        <v>5</v>
      </c>
      <c r="L231" s="4">
        <v>7980</v>
      </c>
      <c r="M231" s="4" t="s">
        <v>22</v>
      </c>
      <c r="N231" s="4" t="s">
        <v>37</v>
      </c>
      <c r="O231" s="4">
        <v>10</v>
      </c>
      <c r="P231" s="6">
        <f t="shared" si="24"/>
        <v>8400</v>
      </c>
      <c r="Q231" s="6">
        <f t="shared" si="25"/>
        <v>420</v>
      </c>
      <c r="R231" s="6">
        <f t="shared" si="26"/>
        <v>1596</v>
      </c>
      <c r="S231" s="6" t="str">
        <f t="shared" si="27"/>
        <v>Jan</v>
      </c>
      <c r="T231" s="6">
        <f t="shared" si="28"/>
        <v>2023</v>
      </c>
      <c r="U231" s="6" t="str">
        <f t="shared" si="29"/>
        <v>Delayed</v>
      </c>
      <c r="V231" s="6" t="str">
        <f t="shared" si="30"/>
        <v>High Value</v>
      </c>
      <c r="W231" s="6" t="str">
        <f t="shared" si="31"/>
        <v>No</v>
      </c>
    </row>
    <row r="232" spans="1:23" x14ac:dyDescent="0.3">
      <c r="A232" s="8" t="s">
        <v>540</v>
      </c>
      <c r="B232" s="3">
        <v>45049</v>
      </c>
      <c r="C232" s="2" t="s">
        <v>199</v>
      </c>
      <c r="D232" s="2" t="s">
        <v>200</v>
      </c>
      <c r="E232" s="2" t="s">
        <v>90</v>
      </c>
      <c r="F232" s="2" t="s">
        <v>19</v>
      </c>
      <c r="G232" s="2" t="s">
        <v>28</v>
      </c>
      <c r="H232" s="2" t="s">
        <v>29</v>
      </c>
      <c r="I232" s="2">
        <v>1</v>
      </c>
      <c r="J232" s="2">
        <v>1200</v>
      </c>
      <c r="K232" s="2">
        <v>20</v>
      </c>
      <c r="L232" s="2">
        <v>960</v>
      </c>
      <c r="M232" s="2" t="s">
        <v>43</v>
      </c>
      <c r="N232" s="2" t="s">
        <v>37</v>
      </c>
      <c r="O232" s="2">
        <v>8</v>
      </c>
      <c r="P232" s="6">
        <f t="shared" si="24"/>
        <v>1200</v>
      </c>
      <c r="Q232" s="6">
        <f t="shared" si="25"/>
        <v>240</v>
      </c>
      <c r="R232" s="6">
        <f t="shared" si="26"/>
        <v>192</v>
      </c>
      <c r="S232" s="6" t="str">
        <f t="shared" si="27"/>
        <v>May</v>
      </c>
      <c r="T232" s="6">
        <f t="shared" si="28"/>
        <v>2023</v>
      </c>
      <c r="U232" s="6" t="str">
        <f t="shared" si="29"/>
        <v>Delayed</v>
      </c>
      <c r="V232" s="6" t="str">
        <f t="shared" si="30"/>
        <v>Normal</v>
      </c>
      <c r="W232" s="6" t="str">
        <f t="shared" si="31"/>
        <v>No</v>
      </c>
    </row>
    <row r="233" spans="1:23" x14ac:dyDescent="0.3">
      <c r="A233" s="9" t="s">
        <v>541</v>
      </c>
      <c r="B233" s="5">
        <v>45115</v>
      </c>
      <c r="C233" s="4" t="s">
        <v>542</v>
      </c>
      <c r="D233" s="4" t="s">
        <v>543</v>
      </c>
      <c r="E233" s="4" t="s">
        <v>41</v>
      </c>
      <c r="F233" s="4" t="s">
        <v>19</v>
      </c>
      <c r="G233" s="4" t="s">
        <v>91</v>
      </c>
      <c r="H233" s="4" t="s">
        <v>163</v>
      </c>
      <c r="I233" s="4">
        <v>1</v>
      </c>
      <c r="J233" s="4">
        <v>900</v>
      </c>
      <c r="K233" s="4">
        <v>10</v>
      </c>
      <c r="L233" s="4">
        <v>810</v>
      </c>
      <c r="M233" s="4" t="s">
        <v>22</v>
      </c>
      <c r="N233" s="4" t="s">
        <v>37</v>
      </c>
      <c r="O233" s="4">
        <v>10</v>
      </c>
      <c r="P233" s="6">
        <f t="shared" si="24"/>
        <v>900</v>
      </c>
      <c r="Q233" s="6">
        <f t="shared" si="25"/>
        <v>90</v>
      </c>
      <c r="R233" s="6">
        <f t="shared" si="26"/>
        <v>162</v>
      </c>
      <c r="S233" s="6" t="str">
        <f t="shared" si="27"/>
        <v>Jul</v>
      </c>
      <c r="T233" s="6">
        <f t="shared" si="28"/>
        <v>2023</v>
      </c>
      <c r="U233" s="6" t="str">
        <f t="shared" si="29"/>
        <v>Delayed</v>
      </c>
      <c r="V233" s="6" t="str">
        <f t="shared" si="30"/>
        <v>Normal</v>
      </c>
      <c r="W233" s="6" t="str">
        <f t="shared" si="31"/>
        <v>Yes</v>
      </c>
    </row>
    <row r="234" spans="1:23" x14ac:dyDescent="0.3">
      <c r="A234" s="8" t="s">
        <v>544</v>
      </c>
      <c r="B234" s="3">
        <v>45336</v>
      </c>
      <c r="C234" s="2" t="s">
        <v>314</v>
      </c>
      <c r="D234" s="2" t="s">
        <v>315</v>
      </c>
      <c r="E234" s="2" t="s">
        <v>260</v>
      </c>
      <c r="F234" s="2" t="s">
        <v>19</v>
      </c>
      <c r="G234" s="2" t="s">
        <v>126</v>
      </c>
      <c r="H234" s="2" t="s">
        <v>222</v>
      </c>
      <c r="I234" s="2">
        <v>1</v>
      </c>
      <c r="J234" s="2">
        <v>650</v>
      </c>
      <c r="K234" s="2">
        <v>20</v>
      </c>
      <c r="L234" s="2">
        <v>520</v>
      </c>
      <c r="M234" s="2" t="s">
        <v>43</v>
      </c>
      <c r="N234" s="2" t="s">
        <v>23</v>
      </c>
      <c r="O234" s="2">
        <v>0</v>
      </c>
      <c r="P234" s="6">
        <f t="shared" si="24"/>
        <v>650</v>
      </c>
      <c r="Q234" s="6">
        <f t="shared" si="25"/>
        <v>130</v>
      </c>
      <c r="R234" s="6">
        <f t="shared" si="26"/>
        <v>104</v>
      </c>
      <c r="S234" s="6" t="str">
        <f t="shared" si="27"/>
        <v>Feb</v>
      </c>
      <c r="T234" s="6">
        <f t="shared" si="28"/>
        <v>2024</v>
      </c>
      <c r="U234" s="6" t="str">
        <f t="shared" si="29"/>
        <v>Fast</v>
      </c>
      <c r="V234" s="6" t="str">
        <f t="shared" si="30"/>
        <v>Normal</v>
      </c>
      <c r="W234" s="6" t="str">
        <f t="shared" si="31"/>
        <v>No</v>
      </c>
    </row>
    <row r="235" spans="1:23" x14ac:dyDescent="0.3">
      <c r="A235" s="9" t="s">
        <v>545</v>
      </c>
      <c r="B235" s="5">
        <v>45289</v>
      </c>
      <c r="C235" s="4" t="s">
        <v>390</v>
      </c>
      <c r="D235" s="4" t="s">
        <v>391</v>
      </c>
      <c r="E235" s="4" t="s">
        <v>176</v>
      </c>
      <c r="F235" s="4" t="s">
        <v>177</v>
      </c>
      <c r="G235" s="4" t="s">
        <v>149</v>
      </c>
      <c r="H235" s="4" t="s">
        <v>457</v>
      </c>
      <c r="I235" s="4">
        <v>2</v>
      </c>
      <c r="J235" s="4">
        <v>85</v>
      </c>
      <c r="K235" s="4">
        <v>15</v>
      </c>
      <c r="L235" s="4">
        <v>144.5</v>
      </c>
      <c r="M235" s="4" t="s">
        <v>43</v>
      </c>
      <c r="N235" s="4" t="s">
        <v>37</v>
      </c>
      <c r="O235" s="4">
        <v>2</v>
      </c>
      <c r="P235" s="6">
        <f t="shared" si="24"/>
        <v>170</v>
      </c>
      <c r="Q235" s="6">
        <f t="shared" si="25"/>
        <v>25.5</v>
      </c>
      <c r="R235" s="6">
        <f t="shared" si="26"/>
        <v>28.900000000000002</v>
      </c>
      <c r="S235" s="6" t="str">
        <f t="shared" si="27"/>
        <v>Dec</v>
      </c>
      <c r="T235" s="6">
        <f t="shared" si="28"/>
        <v>2023</v>
      </c>
      <c r="U235" s="6" t="str">
        <f t="shared" si="29"/>
        <v>Fast</v>
      </c>
      <c r="V235" s="6" t="str">
        <f t="shared" si="30"/>
        <v>Normal</v>
      </c>
      <c r="W235" s="6" t="str">
        <f t="shared" si="31"/>
        <v>No</v>
      </c>
    </row>
    <row r="236" spans="1:23" x14ac:dyDescent="0.3">
      <c r="A236" s="8" t="s">
        <v>546</v>
      </c>
      <c r="B236" s="3">
        <v>45021</v>
      </c>
      <c r="C236" s="2" t="s">
        <v>547</v>
      </c>
      <c r="D236" s="2" t="s">
        <v>548</v>
      </c>
      <c r="E236" s="2" t="s">
        <v>159</v>
      </c>
      <c r="F236" s="2" t="s">
        <v>19</v>
      </c>
      <c r="G236" s="2" t="s">
        <v>54</v>
      </c>
      <c r="H236" s="2" t="s">
        <v>84</v>
      </c>
      <c r="I236" s="2">
        <v>4</v>
      </c>
      <c r="J236" s="2">
        <v>280</v>
      </c>
      <c r="K236" s="2">
        <v>0</v>
      </c>
      <c r="L236" s="2">
        <v>1120</v>
      </c>
      <c r="M236" s="2" t="s">
        <v>43</v>
      </c>
      <c r="N236" s="2" t="s">
        <v>31</v>
      </c>
      <c r="O236" s="2">
        <v>1</v>
      </c>
      <c r="P236" s="6">
        <f t="shared" si="24"/>
        <v>1120</v>
      </c>
      <c r="Q236" s="6">
        <f t="shared" si="25"/>
        <v>0</v>
      </c>
      <c r="R236" s="6">
        <f t="shared" si="26"/>
        <v>224</v>
      </c>
      <c r="S236" s="6" t="str">
        <f t="shared" si="27"/>
        <v>Apr</v>
      </c>
      <c r="T236" s="6">
        <f t="shared" si="28"/>
        <v>2023</v>
      </c>
      <c r="U236" s="6" t="str">
        <f t="shared" si="29"/>
        <v>Fast</v>
      </c>
      <c r="V236" s="6" t="str">
        <f t="shared" si="30"/>
        <v>Normal</v>
      </c>
      <c r="W236" s="6" t="str">
        <f t="shared" si="31"/>
        <v>No</v>
      </c>
    </row>
    <row r="237" spans="1:23" x14ac:dyDescent="0.3">
      <c r="A237" s="9" t="s">
        <v>549</v>
      </c>
      <c r="B237" s="5">
        <v>45043</v>
      </c>
      <c r="C237" s="4" t="s">
        <v>161</v>
      </c>
      <c r="D237" s="4" t="s">
        <v>162</v>
      </c>
      <c r="E237" s="4" t="s">
        <v>83</v>
      </c>
      <c r="F237" s="4" t="s">
        <v>19</v>
      </c>
      <c r="G237" s="4" t="s">
        <v>28</v>
      </c>
      <c r="H237" s="4" t="s">
        <v>249</v>
      </c>
      <c r="I237" s="4">
        <v>2</v>
      </c>
      <c r="J237" s="4">
        <v>890</v>
      </c>
      <c r="K237" s="4">
        <v>0</v>
      </c>
      <c r="L237" s="4">
        <v>1780</v>
      </c>
      <c r="M237" s="4" t="s">
        <v>143</v>
      </c>
      <c r="N237" s="4" t="s">
        <v>31</v>
      </c>
      <c r="O237" s="4">
        <v>2</v>
      </c>
      <c r="P237" s="6">
        <f t="shared" si="24"/>
        <v>1780</v>
      </c>
      <c r="Q237" s="6">
        <f t="shared" si="25"/>
        <v>0</v>
      </c>
      <c r="R237" s="6">
        <f t="shared" si="26"/>
        <v>356</v>
      </c>
      <c r="S237" s="6" t="str">
        <f t="shared" si="27"/>
        <v>Apr</v>
      </c>
      <c r="T237" s="6">
        <f t="shared" si="28"/>
        <v>2023</v>
      </c>
      <c r="U237" s="6" t="str">
        <f t="shared" si="29"/>
        <v>Fast</v>
      </c>
      <c r="V237" s="6" t="str">
        <f t="shared" si="30"/>
        <v>Normal</v>
      </c>
      <c r="W237" s="6" t="str">
        <f t="shared" si="31"/>
        <v>No</v>
      </c>
    </row>
    <row r="238" spans="1:23" x14ac:dyDescent="0.3">
      <c r="A238" s="8" t="s">
        <v>550</v>
      </c>
      <c r="B238" s="3">
        <v>45202</v>
      </c>
      <c r="C238" s="2" t="s">
        <v>551</v>
      </c>
      <c r="D238" s="2" t="s">
        <v>552</v>
      </c>
      <c r="E238" s="2" t="s">
        <v>18</v>
      </c>
      <c r="F238" s="2" t="s">
        <v>19</v>
      </c>
      <c r="G238" s="2" t="s">
        <v>126</v>
      </c>
      <c r="H238" s="2" t="s">
        <v>261</v>
      </c>
      <c r="I238" s="2">
        <v>2</v>
      </c>
      <c r="J238" s="2">
        <v>9500</v>
      </c>
      <c r="K238" s="2">
        <v>5</v>
      </c>
      <c r="L238" s="2">
        <v>18050</v>
      </c>
      <c r="M238" s="2" t="s">
        <v>22</v>
      </c>
      <c r="N238" s="2" t="s">
        <v>37</v>
      </c>
      <c r="O238" s="2">
        <v>2</v>
      </c>
      <c r="P238" s="6">
        <f t="shared" si="24"/>
        <v>19000</v>
      </c>
      <c r="Q238" s="6">
        <f t="shared" si="25"/>
        <v>950</v>
      </c>
      <c r="R238" s="6">
        <f t="shared" si="26"/>
        <v>3610</v>
      </c>
      <c r="S238" s="6" t="str">
        <f t="shared" si="27"/>
        <v>Oct</v>
      </c>
      <c r="T238" s="6">
        <f t="shared" si="28"/>
        <v>2023</v>
      </c>
      <c r="U238" s="6" t="str">
        <f t="shared" si="29"/>
        <v>Fast</v>
      </c>
      <c r="V238" s="6" t="str">
        <f t="shared" si="30"/>
        <v>High Value</v>
      </c>
      <c r="W238" s="6" t="str">
        <f t="shared" si="31"/>
        <v>No</v>
      </c>
    </row>
    <row r="239" spans="1:23" x14ac:dyDescent="0.3">
      <c r="A239" s="9" t="s">
        <v>553</v>
      </c>
      <c r="B239" s="5">
        <v>45214</v>
      </c>
      <c r="C239" s="4" t="s">
        <v>441</v>
      </c>
      <c r="D239" s="4" t="s">
        <v>442</v>
      </c>
      <c r="E239" s="4" t="s">
        <v>41</v>
      </c>
      <c r="F239" s="4" t="s">
        <v>19</v>
      </c>
      <c r="G239" s="4" t="s">
        <v>47</v>
      </c>
      <c r="H239" s="4" t="s">
        <v>379</v>
      </c>
      <c r="I239" s="4">
        <v>2</v>
      </c>
      <c r="J239" s="4">
        <v>950</v>
      </c>
      <c r="K239" s="4">
        <v>15</v>
      </c>
      <c r="L239" s="4">
        <v>1615</v>
      </c>
      <c r="M239" s="4" t="s">
        <v>43</v>
      </c>
      <c r="N239" s="4" t="s">
        <v>37</v>
      </c>
      <c r="O239" s="4">
        <v>6</v>
      </c>
      <c r="P239" s="6">
        <f t="shared" si="24"/>
        <v>1900</v>
      </c>
      <c r="Q239" s="6">
        <f t="shared" si="25"/>
        <v>285</v>
      </c>
      <c r="R239" s="6">
        <f t="shared" si="26"/>
        <v>323</v>
      </c>
      <c r="S239" s="6" t="str">
        <f t="shared" si="27"/>
        <v>Oct</v>
      </c>
      <c r="T239" s="6">
        <f t="shared" si="28"/>
        <v>2023</v>
      </c>
      <c r="U239" s="6" t="str">
        <f t="shared" si="29"/>
        <v>Delayed</v>
      </c>
      <c r="V239" s="6" t="str">
        <f t="shared" si="30"/>
        <v>Normal</v>
      </c>
      <c r="W239" s="6" t="str">
        <f t="shared" si="31"/>
        <v>Yes</v>
      </c>
    </row>
    <row r="240" spans="1:23" x14ac:dyDescent="0.3">
      <c r="A240" s="8" t="s">
        <v>554</v>
      </c>
      <c r="B240" s="3">
        <v>45250</v>
      </c>
      <c r="C240" s="2" t="s">
        <v>109</v>
      </c>
      <c r="D240" s="2" t="s">
        <v>110</v>
      </c>
      <c r="E240" s="2" t="s">
        <v>52</v>
      </c>
      <c r="F240" s="2" t="s">
        <v>53</v>
      </c>
      <c r="G240" s="2" t="s">
        <v>149</v>
      </c>
      <c r="H240" s="2" t="s">
        <v>342</v>
      </c>
      <c r="I240" s="2">
        <v>3</v>
      </c>
      <c r="J240" s="2">
        <v>599</v>
      </c>
      <c r="K240" s="2">
        <v>0</v>
      </c>
      <c r="L240" s="2">
        <v>1797</v>
      </c>
      <c r="M240" s="2" t="s">
        <v>107</v>
      </c>
      <c r="N240" s="2" t="s">
        <v>37</v>
      </c>
      <c r="O240" s="2">
        <v>9</v>
      </c>
      <c r="P240" s="6">
        <f t="shared" si="24"/>
        <v>1797</v>
      </c>
      <c r="Q240" s="6">
        <f t="shared" si="25"/>
        <v>0</v>
      </c>
      <c r="R240" s="6">
        <f t="shared" si="26"/>
        <v>359.40000000000003</v>
      </c>
      <c r="S240" s="6" t="str">
        <f t="shared" si="27"/>
        <v>Nov</v>
      </c>
      <c r="T240" s="6">
        <f t="shared" si="28"/>
        <v>2023</v>
      </c>
      <c r="U240" s="6" t="str">
        <f t="shared" si="29"/>
        <v>Delayed</v>
      </c>
      <c r="V240" s="6" t="str">
        <f t="shared" si="30"/>
        <v>Normal</v>
      </c>
      <c r="W240" s="6" t="str">
        <f t="shared" si="31"/>
        <v>No</v>
      </c>
    </row>
    <row r="241" spans="1:23" x14ac:dyDescent="0.3">
      <c r="A241" s="9" t="s">
        <v>555</v>
      </c>
      <c r="B241" s="5">
        <v>44928</v>
      </c>
      <c r="C241" s="4" t="s">
        <v>542</v>
      </c>
      <c r="D241" s="4" t="s">
        <v>543</v>
      </c>
      <c r="E241" s="4" t="s">
        <v>41</v>
      </c>
      <c r="F241" s="4" t="s">
        <v>19</v>
      </c>
      <c r="G241" s="4" t="s">
        <v>126</v>
      </c>
      <c r="H241" s="4" t="s">
        <v>367</v>
      </c>
      <c r="I241" s="4">
        <v>4</v>
      </c>
      <c r="J241" s="4">
        <v>280</v>
      </c>
      <c r="K241" s="4">
        <v>0</v>
      </c>
      <c r="L241" s="4">
        <v>1120</v>
      </c>
      <c r="M241" s="4" t="s">
        <v>71</v>
      </c>
      <c r="N241" s="4" t="s">
        <v>37</v>
      </c>
      <c r="O241" s="4">
        <v>2</v>
      </c>
      <c r="P241" s="6">
        <f t="shared" si="24"/>
        <v>1120</v>
      </c>
      <c r="Q241" s="6">
        <f t="shared" si="25"/>
        <v>0</v>
      </c>
      <c r="R241" s="6">
        <f t="shared" si="26"/>
        <v>224</v>
      </c>
      <c r="S241" s="6" t="str">
        <f t="shared" si="27"/>
        <v>Jan</v>
      </c>
      <c r="T241" s="6">
        <f t="shared" si="28"/>
        <v>2023</v>
      </c>
      <c r="U241" s="6" t="str">
        <f t="shared" si="29"/>
        <v>Fast</v>
      </c>
      <c r="V241" s="6" t="str">
        <f t="shared" si="30"/>
        <v>Normal</v>
      </c>
      <c r="W241" s="6" t="str">
        <f t="shared" si="31"/>
        <v>No</v>
      </c>
    </row>
    <row r="242" spans="1:23" x14ac:dyDescent="0.3">
      <c r="A242" s="8" t="s">
        <v>556</v>
      </c>
      <c r="B242" s="3">
        <v>44981</v>
      </c>
      <c r="C242" s="2" t="s">
        <v>340</v>
      </c>
      <c r="D242" s="2" t="s">
        <v>341</v>
      </c>
      <c r="E242" s="2" t="s">
        <v>253</v>
      </c>
      <c r="F242" s="2" t="s">
        <v>155</v>
      </c>
      <c r="G242" s="2" t="s">
        <v>20</v>
      </c>
      <c r="H242" s="2" t="s">
        <v>202</v>
      </c>
      <c r="I242" s="2">
        <v>4</v>
      </c>
      <c r="J242" s="2">
        <v>650</v>
      </c>
      <c r="K242" s="2">
        <v>0</v>
      </c>
      <c r="L242" s="2">
        <v>2600</v>
      </c>
      <c r="M242" s="2" t="s">
        <v>43</v>
      </c>
      <c r="N242" s="2" t="s">
        <v>31</v>
      </c>
      <c r="O242" s="2">
        <v>3</v>
      </c>
      <c r="P242" s="6">
        <f t="shared" si="24"/>
        <v>2600</v>
      </c>
      <c r="Q242" s="6">
        <f t="shared" si="25"/>
        <v>0</v>
      </c>
      <c r="R242" s="6">
        <f t="shared" si="26"/>
        <v>520</v>
      </c>
      <c r="S242" s="6" t="str">
        <f t="shared" si="27"/>
        <v>Feb</v>
      </c>
      <c r="T242" s="6">
        <f t="shared" si="28"/>
        <v>2023</v>
      </c>
      <c r="U242" s="6" t="str">
        <f t="shared" si="29"/>
        <v>Fast</v>
      </c>
      <c r="V242" s="6" t="str">
        <f t="shared" si="30"/>
        <v>Normal</v>
      </c>
      <c r="W242" s="6" t="str">
        <f t="shared" si="31"/>
        <v>No</v>
      </c>
    </row>
    <row r="243" spans="1:23" x14ac:dyDescent="0.3">
      <c r="A243" s="9" t="s">
        <v>557</v>
      </c>
      <c r="B243" s="5">
        <v>45460</v>
      </c>
      <c r="C243" s="4" t="s">
        <v>289</v>
      </c>
      <c r="D243" s="4" t="s">
        <v>290</v>
      </c>
      <c r="E243" s="4" t="s">
        <v>41</v>
      </c>
      <c r="F243" s="4" t="s">
        <v>19</v>
      </c>
      <c r="G243" s="4" t="s">
        <v>149</v>
      </c>
      <c r="H243" s="4" t="s">
        <v>342</v>
      </c>
      <c r="I243" s="4">
        <v>2</v>
      </c>
      <c r="J243" s="4">
        <v>599</v>
      </c>
      <c r="K243" s="4">
        <v>10</v>
      </c>
      <c r="L243" s="4">
        <v>1078.2</v>
      </c>
      <c r="M243" s="4" t="s">
        <v>30</v>
      </c>
      <c r="N243" s="4" t="s">
        <v>31</v>
      </c>
      <c r="O243" s="4">
        <v>5</v>
      </c>
      <c r="P243" s="6">
        <f t="shared" si="24"/>
        <v>1198</v>
      </c>
      <c r="Q243" s="6">
        <f t="shared" si="25"/>
        <v>119.80000000000001</v>
      </c>
      <c r="R243" s="6">
        <f t="shared" si="26"/>
        <v>215.64000000000001</v>
      </c>
      <c r="S243" s="6" t="str">
        <f t="shared" si="27"/>
        <v>Jun</v>
      </c>
      <c r="T243" s="6">
        <f t="shared" si="28"/>
        <v>2024</v>
      </c>
      <c r="U243" s="6" t="str">
        <f t="shared" si="29"/>
        <v>Delayed</v>
      </c>
      <c r="V243" s="6" t="str">
        <f t="shared" si="30"/>
        <v>Normal</v>
      </c>
      <c r="W243" s="6" t="str">
        <f t="shared" si="31"/>
        <v>No</v>
      </c>
    </row>
    <row r="244" spans="1:23" x14ac:dyDescent="0.3">
      <c r="A244" s="8" t="s">
        <v>558</v>
      </c>
      <c r="B244" s="3">
        <v>44985</v>
      </c>
      <c r="C244" s="2" t="s">
        <v>191</v>
      </c>
      <c r="D244" s="2" t="s">
        <v>192</v>
      </c>
      <c r="E244" s="2" t="s">
        <v>106</v>
      </c>
      <c r="F244" s="2" t="s">
        <v>19</v>
      </c>
      <c r="G244" s="2" t="s">
        <v>54</v>
      </c>
      <c r="H244" s="2" t="s">
        <v>59</v>
      </c>
      <c r="I244" s="2">
        <v>1</v>
      </c>
      <c r="J244" s="2">
        <v>160</v>
      </c>
      <c r="K244" s="2">
        <v>0</v>
      </c>
      <c r="L244" s="2">
        <v>160</v>
      </c>
      <c r="M244" s="2" t="s">
        <v>71</v>
      </c>
      <c r="N244" s="2" t="s">
        <v>37</v>
      </c>
      <c r="O244" s="2">
        <v>4</v>
      </c>
      <c r="P244" s="6">
        <f t="shared" si="24"/>
        <v>160</v>
      </c>
      <c r="Q244" s="6">
        <f t="shared" si="25"/>
        <v>0</v>
      </c>
      <c r="R244" s="6">
        <f t="shared" si="26"/>
        <v>32</v>
      </c>
      <c r="S244" s="6" t="str">
        <f t="shared" si="27"/>
        <v>Feb</v>
      </c>
      <c r="T244" s="6">
        <f t="shared" si="28"/>
        <v>2023</v>
      </c>
      <c r="U244" s="6" t="str">
        <f t="shared" si="29"/>
        <v>Delayed</v>
      </c>
      <c r="V244" s="6" t="str">
        <f t="shared" si="30"/>
        <v>Normal</v>
      </c>
      <c r="W244" s="6" t="str">
        <f t="shared" si="31"/>
        <v>No</v>
      </c>
    </row>
    <row r="245" spans="1:23" x14ac:dyDescent="0.3">
      <c r="A245" s="9" t="s">
        <v>559</v>
      </c>
      <c r="B245" s="5">
        <v>45148</v>
      </c>
      <c r="C245" s="4" t="s">
        <v>390</v>
      </c>
      <c r="D245" s="4" t="s">
        <v>391</v>
      </c>
      <c r="E245" s="4" t="s">
        <v>176</v>
      </c>
      <c r="F245" s="4" t="s">
        <v>177</v>
      </c>
      <c r="G245" s="4" t="s">
        <v>28</v>
      </c>
      <c r="H245" s="4" t="s">
        <v>300</v>
      </c>
      <c r="I245" s="4">
        <v>2</v>
      </c>
      <c r="J245" s="4">
        <v>320</v>
      </c>
      <c r="K245" s="4">
        <v>10</v>
      </c>
      <c r="L245" s="4">
        <v>576</v>
      </c>
      <c r="M245" s="4" t="s">
        <v>30</v>
      </c>
      <c r="N245" s="4" t="s">
        <v>37</v>
      </c>
      <c r="O245" s="4">
        <v>7</v>
      </c>
      <c r="P245" s="6">
        <f t="shared" si="24"/>
        <v>640</v>
      </c>
      <c r="Q245" s="6">
        <f t="shared" si="25"/>
        <v>64</v>
      </c>
      <c r="R245" s="6">
        <f t="shared" si="26"/>
        <v>115.2</v>
      </c>
      <c r="S245" s="6" t="str">
        <f t="shared" si="27"/>
        <v>Aug</v>
      </c>
      <c r="T245" s="6">
        <f t="shared" si="28"/>
        <v>2023</v>
      </c>
      <c r="U245" s="6" t="str">
        <f t="shared" si="29"/>
        <v>Delayed</v>
      </c>
      <c r="V245" s="6" t="str">
        <f t="shared" si="30"/>
        <v>Normal</v>
      </c>
      <c r="W245" s="6" t="str">
        <f t="shared" si="31"/>
        <v>No</v>
      </c>
    </row>
    <row r="246" spans="1:23" x14ac:dyDescent="0.3">
      <c r="A246" s="8" t="s">
        <v>560</v>
      </c>
      <c r="B246" s="3">
        <v>45087</v>
      </c>
      <c r="C246" s="2" t="s">
        <v>251</v>
      </c>
      <c r="D246" s="2" t="s">
        <v>252</v>
      </c>
      <c r="E246" s="2" t="s">
        <v>253</v>
      </c>
      <c r="F246" s="2" t="s">
        <v>155</v>
      </c>
      <c r="G246" s="2" t="s">
        <v>149</v>
      </c>
      <c r="H246" s="2" t="s">
        <v>457</v>
      </c>
      <c r="I246" s="2">
        <v>3</v>
      </c>
      <c r="J246" s="2">
        <v>85</v>
      </c>
      <c r="K246" s="2">
        <v>20</v>
      </c>
      <c r="L246" s="2">
        <v>204</v>
      </c>
      <c r="M246" s="2" t="s">
        <v>30</v>
      </c>
      <c r="N246" s="2" t="s">
        <v>37</v>
      </c>
      <c r="O246" s="2">
        <v>3</v>
      </c>
      <c r="P246" s="6">
        <f t="shared" si="24"/>
        <v>255</v>
      </c>
      <c r="Q246" s="6">
        <f t="shared" si="25"/>
        <v>51</v>
      </c>
      <c r="R246" s="6">
        <f t="shared" si="26"/>
        <v>40.800000000000004</v>
      </c>
      <c r="S246" s="6" t="str">
        <f t="shared" si="27"/>
        <v>Jun</v>
      </c>
      <c r="T246" s="6">
        <f t="shared" si="28"/>
        <v>2023</v>
      </c>
      <c r="U246" s="6" t="str">
        <f t="shared" si="29"/>
        <v>Fast</v>
      </c>
      <c r="V246" s="6" t="str">
        <f t="shared" si="30"/>
        <v>Normal</v>
      </c>
      <c r="W246" s="6" t="str">
        <f t="shared" si="31"/>
        <v>Yes</v>
      </c>
    </row>
    <row r="247" spans="1:23" x14ac:dyDescent="0.3">
      <c r="A247" s="9" t="s">
        <v>561</v>
      </c>
      <c r="B247" s="5">
        <v>45388</v>
      </c>
      <c r="C247" s="4" t="s">
        <v>394</v>
      </c>
      <c r="D247" s="4" t="s">
        <v>395</v>
      </c>
      <c r="E247" s="4" t="s">
        <v>83</v>
      </c>
      <c r="F247" s="4" t="s">
        <v>19</v>
      </c>
      <c r="G247" s="4" t="s">
        <v>20</v>
      </c>
      <c r="H247" s="4" t="s">
        <v>202</v>
      </c>
      <c r="I247" s="4">
        <v>1</v>
      </c>
      <c r="J247" s="4">
        <v>650</v>
      </c>
      <c r="K247" s="4">
        <v>10</v>
      </c>
      <c r="L247" s="4">
        <v>585</v>
      </c>
      <c r="M247" s="4" t="s">
        <v>43</v>
      </c>
      <c r="N247" s="4" t="s">
        <v>37</v>
      </c>
      <c r="O247" s="4">
        <v>3</v>
      </c>
      <c r="P247" s="6">
        <f t="shared" si="24"/>
        <v>650</v>
      </c>
      <c r="Q247" s="6">
        <f t="shared" si="25"/>
        <v>65</v>
      </c>
      <c r="R247" s="6">
        <f t="shared" si="26"/>
        <v>117</v>
      </c>
      <c r="S247" s="6" t="str">
        <f t="shared" si="27"/>
        <v>Apr</v>
      </c>
      <c r="T247" s="6">
        <f t="shared" si="28"/>
        <v>2024</v>
      </c>
      <c r="U247" s="6" t="str">
        <f t="shared" si="29"/>
        <v>Fast</v>
      </c>
      <c r="V247" s="6" t="str">
        <f t="shared" si="30"/>
        <v>Normal</v>
      </c>
      <c r="W247" s="6" t="str">
        <f t="shared" si="31"/>
        <v>Yes</v>
      </c>
    </row>
    <row r="248" spans="1:23" x14ac:dyDescent="0.3">
      <c r="A248" s="8" t="s">
        <v>562</v>
      </c>
      <c r="B248" s="3">
        <v>45464</v>
      </c>
      <c r="C248" s="2" t="s">
        <v>563</v>
      </c>
      <c r="D248" s="2" t="s">
        <v>564</v>
      </c>
      <c r="E248" s="2" t="s">
        <v>90</v>
      </c>
      <c r="F248" s="2" t="s">
        <v>19</v>
      </c>
      <c r="G248" s="2" t="s">
        <v>126</v>
      </c>
      <c r="H248" s="2" t="s">
        <v>337</v>
      </c>
      <c r="I248" s="2">
        <v>1</v>
      </c>
      <c r="J248" s="2">
        <v>2200</v>
      </c>
      <c r="K248" s="2">
        <v>0</v>
      </c>
      <c r="L248" s="2">
        <v>2200</v>
      </c>
      <c r="M248" s="2" t="s">
        <v>22</v>
      </c>
      <c r="N248" s="2" t="s">
        <v>23</v>
      </c>
      <c r="O248" s="2">
        <v>0</v>
      </c>
      <c r="P248" s="6">
        <f t="shared" si="24"/>
        <v>2200</v>
      </c>
      <c r="Q248" s="6">
        <f t="shared" si="25"/>
        <v>0</v>
      </c>
      <c r="R248" s="6">
        <f t="shared" si="26"/>
        <v>440</v>
      </c>
      <c r="S248" s="6" t="str">
        <f t="shared" si="27"/>
        <v>Jun</v>
      </c>
      <c r="T248" s="6">
        <f t="shared" si="28"/>
        <v>2024</v>
      </c>
      <c r="U248" s="6" t="str">
        <f t="shared" si="29"/>
        <v>Fast</v>
      </c>
      <c r="V248" s="6" t="str">
        <f t="shared" si="30"/>
        <v>Normal</v>
      </c>
      <c r="W248" s="6" t="str">
        <f t="shared" si="31"/>
        <v>No</v>
      </c>
    </row>
    <row r="249" spans="1:23" x14ac:dyDescent="0.3">
      <c r="A249" s="9" t="s">
        <v>565</v>
      </c>
      <c r="B249" s="5">
        <v>45409</v>
      </c>
      <c r="C249" s="4" t="s">
        <v>258</v>
      </c>
      <c r="D249" s="4" t="s">
        <v>259</v>
      </c>
      <c r="E249" s="4" t="s">
        <v>260</v>
      </c>
      <c r="F249" s="4" t="s">
        <v>19</v>
      </c>
      <c r="G249" s="4" t="s">
        <v>28</v>
      </c>
      <c r="H249" s="4" t="s">
        <v>167</v>
      </c>
      <c r="I249" s="4">
        <v>3</v>
      </c>
      <c r="J249" s="4">
        <v>280</v>
      </c>
      <c r="K249" s="4">
        <v>15</v>
      </c>
      <c r="L249" s="4">
        <v>714</v>
      </c>
      <c r="M249" s="4" t="s">
        <v>30</v>
      </c>
      <c r="N249" s="4" t="s">
        <v>37</v>
      </c>
      <c r="O249" s="4">
        <v>8</v>
      </c>
      <c r="P249" s="6">
        <f t="shared" si="24"/>
        <v>840</v>
      </c>
      <c r="Q249" s="6">
        <f t="shared" si="25"/>
        <v>126</v>
      </c>
      <c r="R249" s="6">
        <f t="shared" si="26"/>
        <v>142.80000000000001</v>
      </c>
      <c r="S249" s="6" t="str">
        <f t="shared" si="27"/>
        <v>Apr</v>
      </c>
      <c r="T249" s="6">
        <f t="shared" si="28"/>
        <v>2024</v>
      </c>
      <c r="U249" s="6" t="str">
        <f t="shared" si="29"/>
        <v>Delayed</v>
      </c>
      <c r="V249" s="6" t="str">
        <f t="shared" si="30"/>
        <v>Normal</v>
      </c>
      <c r="W249" s="6" t="str">
        <f t="shared" si="31"/>
        <v>Yes</v>
      </c>
    </row>
    <row r="250" spans="1:23" x14ac:dyDescent="0.3">
      <c r="A250" s="8" t="s">
        <v>566</v>
      </c>
      <c r="B250" s="3">
        <v>45188</v>
      </c>
      <c r="C250" s="2" t="s">
        <v>77</v>
      </c>
      <c r="D250" s="2" t="s">
        <v>78</v>
      </c>
      <c r="E250" s="2" t="s">
        <v>79</v>
      </c>
      <c r="F250" s="2" t="s">
        <v>79</v>
      </c>
      <c r="G250" s="2" t="s">
        <v>91</v>
      </c>
      <c r="H250" s="2" t="s">
        <v>124</v>
      </c>
      <c r="I250" s="2">
        <v>1</v>
      </c>
      <c r="J250" s="2">
        <v>18000</v>
      </c>
      <c r="K250" s="2">
        <v>20</v>
      </c>
      <c r="L250" s="2">
        <v>14400</v>
      </c>
      <c r="M250" s="2" t="s">
        <v>143</v>
      </c>
      <c r="N250" s="2" t="s">
        <v>37</v>
      </c>
      <c r="O250" s="2">
        <v>9</v>
      </c>
      <c r="P250" s="6">
        <f t="shared" si="24"/>
        <v>18000</v>
      </c>
      <c r="Q250" s="6">
        <f t="shared" si="25"/>
        <v>3600</v>
      </c>
      <c r="R250" s="6">
        <f t="shared" si="26"/>
        <v>2880</v>
      </c>
      <c r="S250" s="6" t="str">
        <f t="shared" si="27"/>
        <v>Sep</v>
      </c>
      <c r="T250" s="6">
        <f t="shared" si="28"/>
        <v>2023</v>
      </c>
      <c r="U250" s="6" t="str">
        <f t="shared" si="29"/>
        <v>Delayed</v>
      </c>
      <c r="V250" s="6" t="str">
        <f t="shared" si="30"/>
        <v>High Value</v>
      </c>
      <c r="W250" s="6" t="str">
        <f t="shared" si="31"/>
        <v>No</v>
      </c>
    </row>
    <row r="251" spans="1:23" x14ac:dyDescent="0.3">
      <c r="A251" s="9" t="s">
        <v>567</v>
      </c>
      <c r="B251" s="5">
        <v>45319</v>
      </c>
      <c r="C251" s="4" t="s">
        <v>228</v>
      </c>
      <c r="D251" s="4" t="s">
        <v>229</v>
      </c>
      <c r="E251" s="4" t="s">
        <v>230</v>
      </c>
      <c r="F251" s="4" t="s">
        <v>19</v>
      </c>
      <c r="G251" s="4" t="s">
        <v>47</v>
      </c>
      <c r="H251" s="4" t="s">
        <v>102</v>
      </c>
      <c r="I251" s="4">
        <v>2</v>
      </c>
      <c r="J251" s="4">
        <v>2200</v>
      </c>
      <c r="K251" s="4">
        <v>5</v>
      </c>
      <c r="L251" s="4">
        <v>4180</v>
      </c>
      <c r="M251" s="4" t="s">
        <v>22</v>
      </c>
      <c r="N251" s="4" t="s">
        <v>37</v>
      </c>
      <c r="O251" s="4">
        <v>3</v>
      </c>
      <c r="P251" s="6">
        <f t="shared" si="24"/>
        <v>4400</v>
      </c>
      <c r="Q251" s="6">
        <f t="shared" si="25"/>
        <v>220</v>
      </c>
      <c r="R251" s="6">
        <f t="shared" si="26"/>
        <v>836</v>
      </c>
      <c r="S251" s="6" t="str">
        <f t="shared" si="27"/>
        <v>Jan</v>
      </c>
      <c r="T251" s="6">
        <f t="shared" si="28"/>
        <v>2024</v>
      </c>
      <c r="U251" s="6" t="str">
        <f t="shared" si="29"/>
        <v>Fast</v>
      </c>
      <c r="V251" s="6" t="str">
        <f t="shared" si="30"/>
        <v>Normal</v>
      </c>
      <c r="W251" s="6" t="str">
        <f t="shared" si="31"/>
        <v>Yes</v>
      </c>
    </row>
    <row r="252" spans="1:23" x14ac:dyDescent="0.3">
      <c r="A252" s="8" t="s">
        <v>568</v>
      </c>
      <c r="B252" s="3">
        <v>45337</v>
      </c>
      <c r="C252" s="2" t="s">
        <v>569</v>
      </c>
      <c r="D252" s="2" t="s">
        <v>570</v>
      </c>
      <c r="E252" s="2" t="s">
        <v>83</v>
      </c>
      <c r="F252" s="2" t="s">
        <v>19</v>
      </c>
      <c r="G252" s="2" t="s">
        <v>149</v>
      </c>
      <c r="H252" s="2" t="s">
        <v>281</v>
      </c>
      <c r="I252" s="2">
        <v>2</v>
      </c>
      <c r="J252" s="2">
        <v>120</v>
      </c>
      <c r="K252" s="2">
        <v>5</v>
      </c>
      <c r="L252" s="2">
        <v>228</v>
      </c>
      <c r="M252" s="2" t="s">
        <v>30</v>
      </c>
      <c r="N252" s="2" t="s">
        <v>37</v>
      </c>
      <c r="O252" s="2">
        <v>1</v>
      </c>
      <c r="P252" s="6">
        <f t="shared" si="24"/>
        <v>240</v>
      </c>
      <c r="Q252" s="6">
        <f t="shared" si="25"/>
        <v>12</v>
      </c>
      <c r="R252" s="6">
        <f t="shared" si="26"/>
        <v>45.6</v>
      </c>
      <c r="S252" s="6" t="str">
        <f t="shared" si="27"/>
        <v>Feb</v>
      </c>
      <c r="T252" s="6">
        <f t="shared" si="28"/>
        <v>2024</v>
      </c>
      <c r="U252" s="6" t="str">
        <f t="shared" si="29"/>
        <v>Fast</v>
      </c>
      <c r="V252" s="6" t="str">
        <f t="shared" si="30"/>
        <v>Normal</v>
      </c>
      <c r="W252" s="6" t="str">
        <f t="shared" si="31"/>
        <v>No</v>
      </c>
    </row>
    <row r="253" spans="1:23" x14ac:dyDescent="0.3">
      <c r="A253" s="9" t="s">
        <v>571</v>
      </c>
      <c r="B253" s="5">
        <v>45325</v>
      </c>
      <c r="C253" s="4" t="s">
        <v>390</v>
      </c>
      <c r="D253" s="4" t="s">
        <v>391</v>
      </c>
      <c r="E253" s="4" t="s">
        <v>176</v>
      </c>
      <c r="F253" s="4" t="s">
        <v>177</v>
      </c>
      <c r="G253" s="4" t="s">
        <v>28</v>
      </c>
      <c r="H253" s="4" t="s">
        <v>300</v>
      </c>
      <c r="I253" s="4">
        <v>1</v>
      </c>
      <c r="J253" s="4">
        <v>320</v>
      </c>
      <c r="K253" s="4">
        <v>20</v>
      </c>
      <c r="L253" s="4">
        <v>256</v>
      </c>
      <c r="M253" s="4" t="s">
        <v>107</v>
      </c>
      <c r="N253" s="4" t="s">
        <v>37</v>
      </c>
      <c r="O253" s="4">
        <v>5</v>
      </c>
      <c r="P253" s="6">
        <f t="shared" si="24"/>
        <v>320</v>
      </c>
      <c r="Q253" s="6">
        <f t="shared" si="25"/>
        <v>64</v>
      </c>
      <c r="R253" s="6">
        <f t="shared" si="26"/>
        <v>51.2</v>
      </c>
      <c r="S253" s="6" t="str">
        <f t="shared" si="27"/>
        <v>Feb</v>
      </c>
      <c r="T253" s="6">
        <f t="shared" si="28"/>
        <v>2024</v>
      </c>
      <c r="U253" s="6" t="str">
        <f t="shared" si="29"/>
        <v>Delayed</v>
      </c>
      <c r="V253" s="6" t="str">
        <f t="shared" si="30"/>
        <v>Normal</v>
      </c>
      <c r="W253" s="6" t="str">
        <f t="shared" si="31"/>
        <v>Yes</v>
      </c>
    </row>
    <row r="254" spans="1:23" x14ac:dyDescent="0.3">
      <c r="A254" s="8" t="s">
        <v>572</v>
      </c>
      <c r="B254" s="3">
        <v>45079</v>
      </c>
      <c r="C254" s="2" t="s">
        <v>211</v>
      </c>
      <c r="D254" s="2" t="s">
        <v>212</v>
      </c>
      <c r="E254" s="2" t="s">
        <v>83</v>
      </c>
      <c r="F254" s="2" t="s">
        <v>19</v>
      </c>
      <c r="G254" s="2" t="s">
        <v>28</v>
      </c>
      <c r="H254" s="2" t="s">
        <v>129</v>
      </c>
      <c r="I254" s="2">
        <v>4</v>
      </c>
      <c r="J254" s="2">
        <v>380</v>
      </c>
      <c r="K254" s="2">
        <v>10</v>
      </c>
      <c r="L254" s="2">
        <v>1368</v>
      </c>
      <c r="M254" s="2" t="s">
        <v>143</v>
      </c>
      <c r="N254" s="2" t="s">
        <v>37</v>
      </c>
      <c r="O254" s="2">
        <v>1</v>
      </c>
      <c r="P254" s="6">
        <f t="shared" si="24"/>
        <v>1520</v>
      </c>
      <c r="Q254" s="6">
        <f t="shared" si="25"/>
        <v>152</v>
      </c>
      <c r="R254" s="6">
        <f t="shared" si="26"/>
        <v>273.60000000000002</v>
      </c>
      <c r="S254" s="6" t="str">
        <f t="shared" si="27"/>
        <v>Jun</v>
      </c>
      <c r="T254" s="6">
        <f t="shared" si="28"/>
        <v>2023</v>
      </c>
      <c r="U254" s="6" t="str">
        <f t="shared" si="29"/>
        <v>Fast</v>
      </c>
      <c r="V254" s="6" t="str">
        <f t="shared" si="30"/>
        <v>Normal</v>
      </c>
      <c r="W254" s="6" t="str">
        <f t="shared" si="31"/>
        <v>No</v>
      </c>
    </row>
    <row r="255" spans="1:23" x14ac:dyDescent="0.3">
      <c r="A255" s="9" t="s">
        <v>573</v>
      </c>
      <c r="B255" s="5">
        <v>45424</v>
      </c>
      <c r="C255" s="4" t="s">
        <v>241</v>
      </c>
      <c r="D255" s="4" t="s">
        <v>242</v>
      </c>
      <c r="E255" s="4" t="s">
        <v>230</v>
      </c>
      <c r="F255" s="4" t="s">
        <v>19</v>
      </c>
      <c r="G255" s="4" t="s">
        <v>126</v>
      </c>
      <c r="H255" s="4" t="s">
        <v>409</v>
      </c>
      <c r="I255" s="4">
        <v>2</v>
      </c>
      <c r="J255" s="4">
        <v>1800</v>
      </c>
      <c r="K255" s="4">
        <v>5</v>
      </c>
      <c r="L255" s="4">
        <v>3420</v>
      </c>
      <c r="M255" s="4" t="s">
        <v>43</v>
      </c>
      <c r="N255" s="4" t="s">
        <v>23</v>
      </c>
      <c r="O255" s="4">
        <v>0</v>
      </c>
      <c r="P255" s="6">
        <f t="shared" si="24"/>
        <v>3600</v>
      </c>
      <c r="Q255" s="6">
        <f t="shared" si="25"/>
        <v>180</v>
      </c>
      <c r="R255" s="6">
        <f t="shared" si="26"/>
        <v>684</v>
      </c>
      <c r="S255" s="6" t="str">
        <f t="shared" si="27"/>
        <v>May</v>
      </c>
      <c r="T255" s="6">
        <f t="shared" si="28"/>
        <v>2024</v>
      </c>
      <c r="U255" s="6" t="str">
        <f t="shared" si="29"/>
        <v>Fast</v>
      </c>
      <c r="V255" s="6" t="str">
        <f t="shared" si="30"/>
        <v>Normal</v>
      </c>
      <c r="W255" s="6" t="str">
        <f t="shared" si="31"/>
        <v>Yes</v>
      </c>
    </row>
    <row r="256" spans="1:23" x14ac:dyDescent="0.3">
      <c r="A256" s="8" t="s">
        <v>574</v>
      </c>
      <c r="B256" s="3">
        <v>45252</v>
      </c>
      <c r="C256" s="2" t="s">
        <v>187</v>
      </c>
      <c r="D256" s="2" t="s">
        <v>188</v>
      </c>
      <c r="E256" s="2" t="s">
        <v>90</v>
      </c>
      <c r="F256" s="2" t="s">
        <v>19</v>
      </c>
      <c r="G256" s="2" t="s">
        <v>28</v>
      </c>
      <c r="H256" s="2" t="s">
        <v>167</v>
      </c>
      <c r="I256" s="2">
        <v>4</v>
      </c>
      <c r="J256" s="2">
        <v>280</v>
      </c>
      <c r="K256" s="2">
        <v>0</v>
      </c>
      <c r="L256" s="2">
        <v>1120</v>
      </c>
      <c r="M256" s="2" t="s">
        <v>30</v>
      </c>
      <c r="N256" s="2" t="s">
        <v>37</v>
      </c>
      <c r="O256" s="2">
        <v>6</v>
      </c>
      <c r="P256" s="6">
        <f t="shared" si="24"/>
        <v>1120</v>
      </c>
      <c r="Q256" s="6">
        <f t="shared" si="25"/>
        <v>0</v>
      </c>
      <c r="R256" s="6">
        <f t="shared" si="26"/>
        <v>224</v>
      </c>
      <c r="S256" s="6" t="str">
        <f t="shared" si="27"/>
        <v>Nov</v>
      </c>
      <c r="T256" s="6">
        <f t="shared" si="28"/>
        <v>2023</v>
      </c>
      <c r="U256" s="6" t="str">
        <f t="shared" si="29"/>
        <v>Delayed</v>
      </c>
      <c r="V256" s="6" t="str">
        <f t="shared" si="30"/>
        <v>Normal</v>
      </c>
      <c r="W256" s="6" t="str">
        <f t="shared" si="31"/>
        <v>No</v>
      </c>
    </row>
    <row r="257" spans="1:23" x14ac:dyDescent="0.3">
      <c r="A257" s="9" t="s">
        <v>575</v>
      </c>
      <c r="B257" s="5">
        <v>45271</v>
      </c>
      <c r="C257" s="4" t="s">
        <v>340</v>
      </c>
      <c r="D257" s="4" t="s">
        <v>341</v>
      </c>
      <c r="E257" s="4" t="s">
        <v>253</v>
      </c>
      <c r="F257" s="4" t="s">
        <v>155</v>
      </c>
      <c r="G257" s="4" t="s">
        <v>20</v>
      </c>
      <c r="H257" s="4" t="s">
        <v>111</v>
      </c>
      <c r="I257" s="4">
        <v>1</v>
      </c>
      <c r="J257" s="4">
        <v>250</v>
      </c>
      <c r="K257" s="4">
        <v>5</v>
      </c>
      <c r="L257" s="4">
        <v>237.5</v>
      </c>
      <c r="M257" s="4" t="s">
        <v>143</v>
      </c>
      <c r="N257" s="4" t="s">
        <v>37</v>
      </c>
      <c r="O257" s="4">
        <v>10</v>
      </c>
      <c r="P257" s="6">
        <f t="shared" si="24"/>
        <v>250</v>
      </c>
      <c r="Q257" s="6">
        <f t="shared" si="25"/>
        <v>12.5</v>
      </c>
      <c r="R257" s="6">
        <f t="shared" si="26"/>
        <v>47.5</v>
      </c>
      <c r="S257" s="6" t="str">
        <f t="shared" si="27"/>
        <v>Dec</v>
      </c>
      <c r="T257" s="6">
        <f t="shared" si="28"/>
        <v>2023</v>
      </c>
      <c r="U257" s="6" t="str">
        <f t="shared" si="29"/>
        <v>Delayed</v>
      </c>
      <c r="V257" s="6" t="str">
        <f t="shared" si="30"/>
        <v>Normal</v>
      </c>
      <c r="W257" s="6" t="str">
        <f t="shared" si="31"/>
        <v>No</v>
      </c>
    </row>
    <row r="258" spans="1:23" x14ac:dyDescent="0.3">
      <c r="A258" s="8" t="s">
        <v>576</v>
      </c>
      <c r="B258" s="3">
        <v>45008</v>
      </c>
      <c r="C258" s="2" t="s">
        <v>244</v>
      </c>
      <c r="D258" s="2" t="s">
        <v>245</v>
      </c>
      <c r="E258" s="2" t="s">
        <v>137</v>
      </c>
      <c r="F258" s="2" t="s">
        <v>19</v>
      </c>
      <c r="G258" s="2" t="s">
        <v>69</v>
      </c>
      <c r="H258" s="2" t="s">
        <v>435</v>
      </c>
      <c r="I258" s="2">
        <v>4</v>
      </c>
      <c r="J258" s="2">
        <v>3500</v>
      </c>
      <c r="K258" s="2">
        <v>0</v>
      </c>
      <c r="L258" s="2">
        <v>14000</v>
      </c>
      <c r="M258" s="2" t="s">
        <v>43</v>
      </c>
      <c r="N258" s="2" t="s">
        <v>37</v>
      </c>
      <c r="O258" s="2">
        <v>5</v>
      </c>
      <c r="P258" s="6">
        <f t="shared" si="24"/>
        <v>14000</v>
      </c>
      <c r="Q258" s="6">
        <f t="shared" si="25"/>
        <v>0</v>
      </c>
      <c r="R258" s="6">
        <f t="shared" si="26"/>
        <v>2800</v>
      </c>
      <c r="S258" s="6" t="str">
        <f t="shared" si="27"/>
        <v>Mar</v>
      </c>
      <c r="T258" s="6">
        <f t="shared" si="28"/>
        <v>2023</v>
      </c>
      <c r="U258" s="6" t="str">
        <f t="shared" si="29"/>
        <v>Delayed</v>
      </c>
      <c r="V258" s="6" t="str">
        <f t="shared" si="30"/>
        <v>High Value</v>
      </c>
      <c r="W258" s="6" t="str">
        <f t="shared" si="31"/>
        <v>No</v>
      </c>
    </row>
    <row r="259" spans="1:23" x14ac:dyDescent="0.3">
      <c r="A259" s="9" t="s">
        <v>577</v>
      </c>
      <c r="B259" s="5">
        <v>45376</v>
      </c>
      <c r="C259" s="4" t="s">
        <v>578</v>
      </c>
      <c r="D259" s="4" t="s">
        <v>579</v>
      </c>
      <c r="E259" s="4" t="s">
        <v>41</v>
      </c>
      <c r="F259" s="4" t="s">
        <v>19</v>
      </c>
      <c r="G259" s="4" t="s">
        <v>149</v>
      </c>
      <c r="H259" s="4" t="s">
        <v>182</v>
      </c>
      <c r="I259" s="4">
        <v>1</v>
      </c>
      <c r="J259" s="4">
        <v>180</v>
      </c>
      <c r="K259" s="4">
        <v>10</v>
      </c>
      <c r="L259" s="4">
        <v>162</v>
      </c>
      <c r="M259" s="4" t="s">
        <v>143</v>
      </c>
      <c r="N259" s="4" t="s">
        <v>23</v>
      </c>
      <c r="O259" s="4">
        <v>0</v>
      </c>
      <c r="P259" s="6">
        <f t="shared" ref="P259:P322" si="32">I259*J259</f>
        <v>180</v>
      </c>
      <c r="Q259" s="6">
        <f t="shared" ref="Q259:Q322" si="33">P259*(K259/100)</f>
        <v>18</v>
      </c>
      <c r="R259" s="6">
        <f t="shared" ref="R259:R322" si="34">L259*0.2</f>
        <v>32.4</v>
      </c>
      <c r="S259" s="6" t="str">
        <f t="shared" ref="S259:S322" si="35">TEXT(B259,"MMM")</f>
        <v>Mar</v>
      </c>
      <c r="T259" s="6">
        <f t="shared" ref="T259:T322" si="36">YEAR(B259)</f>
        <v>2024</v>
      </c>
      <c r="U259" s="6" t="str">
        <f t="shared" ref="U259:U322" si="37">IF(O259&lt;=3,"Fast","Delayed")</f>
        <v>Fast</v>
      </c>
      <c r="V259" s="6" t="str">
        <f t="shared" ref="V259:V322" si="38">IF(L259&gt;5000,"High Value","Normal")</f>
        <v>Normal</v>
      </c>
      <c r="W259" s="6" t="str">
        <f t="shared" ref="W259:W322" si="39">IF(WEEKDAY(B259,2)&gt;5,"Yes","No")</f>
        <v>No</v>
      </c>
    </row>
    <row r="260" spans="1:23" x14ac:dyDescent="0.3">
      <c r="A260" s="8" t="s">
        <v>580</v>
      </c>
      <c r="B260" s="3">
        <v>45470</v>
      </c>
      <c r="C260" s="2" t="s">
        <v>247</v>
      </c>
      <c r="D260" s="2" t="s">
        <v>248</v>
      </c>
      <c r="E260" s="2" t="s">
        <v>35</v>
      </c>
      <c r="F260" s="2" t="s">
        <v>19</v>
      </c>
      <c r="G260" s="2" t="s">
        <v>54</v>
      </c>
      <c r="H260" s="2" t="s">
        <v>55</v>
      </c>
      <c r="I260" s="2">
        <v>2</v>
      </c>
      <c r="J260" s="2">
        <v>180</v>
      </c>
      <c r="K260" s="2">
        <v>15</v>
      </c>
      <c r="L260" s="2">
        <v>306</v>
      </c>
      <c r="M260" s="2" t="s">
        <v>30</v>
      </c>
      <c r="N260" s="2" t="s">
        <v>23</v>
      </c>
      <c r="O260" s="2">
        <v>0</v>
      </c>
      <c r="P260" s="6">
        <f t="shared" si="32"/>
        <v>360</v>
      </c>
      <c r="Q260" s="6">
        <f t="shared" si="33"/>
        <v>54</v>
      </c>
      <c r="R260" s="6">
        <f t="shared" si="34"/>
        <v>61.2</v>
      </c>
      <c r="S260" s="6" t="str">
        <f t="shared" si="35"/>
        <v>Jun</v>
      </c>
      <c r="T260" s="6">
        <f t="shared" si="36"/>
        <v>2024</v>
      </c>
      <c r="U260" s="6" t="str">
        <f t="shared" si="37"/>
        <v>Fast</v>
      </c>
      <c r="V260" s="6" t="str">
        <f t="shared" si="38"/>
        <v>Normal</v>
      </c>
      <c r="W260" s="6" t="str">
        <f t="shared" si="39"/>
        <v>No</v>
      </c>
    </row>
    <row r="261" spans="1:23" x14ac:dyDescent="0.3">
      <c r="A261" s="9" t="s">
        <v>581</v>
      </c>
      <c r="B261" s="5">
        <v>45379</v>
      </c>
      <c r="C261" s="4" t="s">
        <v>57</v>
      </c>
      <c r="D261" s="4" t="s">
        <v>58</v>
      </c>
      <c r="E261" s="4" t="s">
        <v>18</v>
      </c>
      <c r="F261" s="4" t="s">
        <v>19</v>
      </c>
      <c r="G261" s="4" t="s">
        <v>69</v>
      </c>
      <c r="H261" s="4" t="s">
        <v>70</v>
      </c>
      <c r="I261" s="4">
        <v>2</v>
      </c>
      <c r="J261" s="4">
        <v>850</v>
      </c>
      <c r="K261" s="4">
        <v>15</v>
      </c>
      <c r="L261" s="4">
        <v>1445</v>
      </c>
      <c r="M261" s="4" t="s">
        <v>107</v>
      </c>
      <c r="N261" s="4" t="s">
        <v>23</v>
      </c>
      <c r="O261" s="4">
        <v>0</v>
      </c>
      <c r="P261" s="6">
        <f t="shared" si="32"/>
        <v>1700</v>
      </c>
      <c r="Q261" s="6">
        <f t="shared" si="33"/>
        <v>255</v>
      </c>
      <c r="R261" s="6">
        <f t="shared" si="34"/>
        <v>289</v>
      </c>
      <c r="S261" s="6" t="str">
        <f t="shared" si="35"/>
        <v>Mar</v>
      </c>
      <c r="T261" s="6">
        <f t="shared" si="36"/>
        <v>2024</v>
      </c>
      <c r="U261" s="6" t="str">
        <f t="shared" si="37"/>
        <v>Fast</v>
      </c>
      <c r="V261" s="6" t="str">
        <f t="shared" si="38"/>
        <v>Normal</v>
      </c>
      <c r="W261" s="6" t="str">
        <f t="shared" si="39"/>
        <v>No</v>
      </c>
    </row>
    <row r="262" spans="1:23" x14ac:dyDescent="0.3">
      <c r="A262" s="8" t="s">
        <v>582</v>
      </c>
      <c r="B262" s="3">
        <v>45003</v>
      </c>
      <c r="C262" s="2" t="s">
        <v>268</v>
      </c>
      <c r="D262" s="2" t="s">
        <v>269</v>
      </c>
      <c r="E262" s="2" t="s">
        <v>270</v>
      </c>
      <c r="F262" s="2" t="s">
        <v>19</v>
      </c>
      <c r="G262" s="2" t="s">
        <v>149</v>
      </c>
      <c r="H262" s="2" t="s">
        <v>334</v>
      </c>
      <c r="I262" s="2">
        <v>3</v>
      </c>
      <c r="J262" s="2">
        <v>750</v>
      </c>
      <c r="K262" s="2">
        <v>10</v>
      </c>
      <c r="L262" s="2">
        <v>2025</v>
      </c>
      <c r="M262" s="2" t="s">
        <v>43</v>
      </c>
      <c r="N262" s="2" t="s">
        <v>37</v>
      </c>
      <c r="O262" s="2">
        <v>5</v>
      </c>
      <c r="P262" s="6">
        <f t="shared" si="32"/>
        <v>2250</v>
      </c>
      <c r="Q262" s="6">
        <f t="shared" si="33"/>
        <v>225</v>
      </c>
      <c r="R262" s="6">
        <f t="shared" si="34"/>
        <v>405</v>
      </c>
      <c r="S262" s="6" t="str">
        <f t="shared" si="35"/>
        <v>Mar</v>
      </c>
      <c r="T262" s="6">
        <f t="shared" si="36"/>
        <v>2023</v>
      </c>
      <c r="U262" s="6" t="str">
        <f t="shared" si="37"/>
        <v>Delayed</v>
      </c>
      <c r="V262" s="6" t="str">
        <f t="shared" si="38"/>
        <v>Normal</v>
      </c>
      <c r="W262" s="6" t="str">
        <f t="shared" si="39"/>
        <v>Yes</v>
      </c>
    </row>
    <row r="263" spans="1:23" x14ac:dyDescent="0.3">
      <c r="A263" s="9" t="s">
        <v>583</v>
      </c>
      <c r="B263" s="5">
        <v>45203</v>
      </c>
      <c r="C263" s="4" t="s">
        <v>584</v>
      </c>
      <c r="D263" s="4" t="s">
        <v>585</v>
      </c>
      <c r="E263" s="4" t="s">
        <v>90</v>
      </c>
      <c r="F263" s="4" t="s">
        <v>19</v>
      </c>
      <c r="G263" s="4" t="s">
        <v>149</v>
      </c>
      <c r="H263" s="4" t="s">
        <v>334</v>
      </c>
      <c r="I263" s="4">
        <v>3</v>
      </c>
      <c r="J263" s="4">
        <v>750</v>
      </c>
      <c r="K263" s="4">
        <v>0</v>
      </c>
      <c r="L263" s="4">
        <v>2250</v>
      </c>
      <c r="M263" s="4" t="s">
        <v>143</v>
      </c>
      <c r="N263" s="4" t="s">
        <v>64</v>
      </c>
      <c r="O263" s="4">
        <v>1</v>
      </c>
      <c r="P263" s="6">
        <f t="shared" si="32"/>
        <v>2250</v>
      </c>
      <c r="Q263" s="6">
        <f t="shared" si="33"/>
        <v>0</v>
      </c>
      <c r="R263" s="6">
        <f t="shared" si="34"/>
        <v>450</v>
      </c>
      <c r="S263" s="6" t="str">
        <f t="shared" si="35"/>
        <v>Oct</v>
      </c>
      <c r="T263" s="6">
        <f t="shared" si="36"/>
        <v>2023</v>
      </c>
      <c r="U263" s="6" t="str">
        <f t="shared" si="37"/>
        <v>Fast</v>
      </c>
      <c r="V263" s="6" t="str">
        <f t="shared" si="38"/>
        <v>Normal</v>
      </c>
      <c r="W263" s="6" t="str">
        <f t="shared" si="39"/>
        <v>No</v>
      </c>
    </row>
    <row r="264" spans="1:23" x14ac:dyDescent="0.3">
      <c r="A264" s="8" t="s">
        <v>586</v>
      </c>
      <c r="B264" s="3">
        <v>45088</v>
      </c>
      <c r="C264" s="2" t="s">
        <v>472</v>
      </c>
      <c r="D264" s="2" t="s">
        <v>473</v>
      </c>
      <c r="E264" s="2" t="s">
        <v>133</v>
      </c>
      <c r="F264" s="2" t="s">
        <v>19</v>
      </c>
      <c r="G264" s="2" t="s">
        <v>47</v>
      </c>
      <c r="H264" s="2" t="s">
        <v>217</v>
      </c>
      <c r="I264" s="2">
        <v>2</v>
      </c>
      <c r="J264" s="2">
        <v>1200</v>
      </c>
      <c r="K264" s="2">
        <v>10</v>
      </c>
      <c r="L264" s="2">
        <v>2160</v>
      </c>
      <c r="M264" s="2" t="s">
        <v>107</v>
      </c>
      <c r="N264" s="2" t="s">
        <v>23</v>
      </c>
      <c r="O264" s="2">
        <v>0</v>
      </c>
      <c r="P264" s="6">
        <f t="shared" si="32"/>
        <v>2400</v>
      </c>
      <c r="Q264" s="6">
        <f t="shared" si="33"/>
        <v>240</v>
      </c>
      <c r="R264" s="6">
        <f t="shared" si="34"/>
        <v>432</v>
      </c>
      <c r="S264" s="6" t="str">
        <f t="shared" si="35"/>
        <v>Jun</v>
      </c>
      <c r="T264" s="6">
        <f t="shared" si="36"/>
        <v>2023</v>
      </c>
      <c r="U264" s="6" t="str">
        <f t="shared" si="37"/>
        <v>Fast</v>
      </c>
      <c r="V264" s="6" t="str">
        <f t="shared" si="38"/>
        <v>Normal</v>
      </c>
      <c r="W264" s="6" t="str">
        <f t="shared" si="39"/>
        <v>Yes</v>
      </c>
    </row>
    <row r="265" spans="1:23" x14ac:dyDescent="0.3">
      <c r="A265" s="9" t="s">
        <v>587</v>
      </c>
      <c r="B265" s="5">
        <v>44941</v>
      </c>
      <c r="C265" s="4" t="s">
        <v>340</v>
      </c>
      <c r="D265" s="4" t="s">
        <v>341</v>
      </c>
      <c r="E265" s="4" t="s">
        <v>253</v>
      </c>
      <c r="F265" s="4" t="s">
        <v>155</v>
      </c>
      <c r="G265" s="4" t="s">
        <v>47</v>
      </c>
      <c r="H265" s="4" t="s">
        <v>102</v>
      </c>
      <c r="I265" s="4">
        <v>2</v>
      </c>
      <c r="J265" s="4">
        <v>2200</v>
      </c>
      <c r="K265" s="4">
        <v>15</v>
      </c>
      <c r="L265" s="4">
        <v>3740</v>
      </c>
      <c r="M265" s="4" t="s">
        <v>43</v>
      </c>
      <c r="N265" s="4" t="s">
        <v>23</v>
      </c>
      <c r="O265" s="4">
        <v>0</v>
      </c>
      <c r="P265" s="6">
        <f t="shared" si="32"/>
        <v>4400</v>
      </c>
      <c r="Q265" s="6">
        <f t="shared" si="33"/>
        <v>660</v>
      </c>
      <c r="R265" s="6">
        <f t="shared" si="34"/>
        <v>748</v>
      </c>
      <c r="S265" s="6" t="str">
        <f t="shared" si="35"/>
        <v>Jan</v>
      </c>
      <c r="T265" s="6">
        <f t="shared" si="36"/>
        <v>2023</v>
      </c>
      <c r="U265" s="6" t="str">
        <f t="shared" si="37"/>
        <v>Fast</v>
      </c>
      <c r="V265" s="6" t="str">
        <f t="shared" si="38"/>
        <v>Normal</v>
      </c>
      <c r="W265" s="6" t="str">
        <f t="shared" si="39"/>
        <v>Yes</v>
      </c>
    </row>
    <row r="266" spans="1:23" x14ac:dyDescent="0.3">
      <c r="A266" s="8" t="s">
        <v>588</v>
      </c>
      <c r="B266" s="3">
        <v>45103</v>
      </c>
      <c r="C266" s="2" t="s">
        <v>390</v>
      </c>
      <c r="D266" s="2" t="s">
        <v>391</v>
      </c>
      <c r="E266" s="2" t="s">
        <v>176</v>
      </c>
      <c r="F266" s="2" t="s">
        <v>177</v>
      </c>
      <c r="G266" s="2" t="s">
        <v>126</v>
      </c>
      <c r="H266" s="2" t="s">
        <v>261</v>
      </c>
      <c r="I266" s="2">
        <v>3</v>
      </c>
      <c r="J266" s="2">
        <v>9500</v>
      </c>
      <c r="K266" s="2">
        <v>20</v>
      </c>
      <c r="L266" s="2">
        <v>22800</v>
      </c>
      <c r="M266" s="2" t="s">
        <v>22</v>
      </c>
      <c r="N266" s="2" t="s">
        <v>37</v>
      </c>
      <c r="O266" s="2">
        <v>4</v>
      </c>
      <c r="P266" s="6">
        <f t="shared" si="32"/>
        <v>28500</v>
      </c>
      <c r="Q266" s="6">
        <f t="shared" si="33"/>
        <v>5700</v>
      </c>
      <c r="R266" s="6">
        <f t="shared" si="34"/>
        <v>4560</v>
      </c>
      <c r="S266" s="6" t="str">
        <f t="shared" si="35"/>
        <v>Jun</v>
      </c>
      <c r="T266" s="6">
        <f t="shared" si="36"/>
        <v>2023</v>
      </c>
      <c r="U266" s="6" t="str">
        <f t="shared" si="37"/>
        <v>Delayed</v>
      </c>
      <c r="V266" s="6" t="str">
        <f t="shared" si="38"/>
        <v>High Value</v>
      </c>
      <c r="W266" s="6" t="str">
        <f t="shared" si="39"/>
        <v>No</v>
      </c>
    </row>
    <row r="267" spans="1:23" x14ac:dyDescent="0.3">
      <c r="A267" s="9" t="s">
        <v>589</v>
      </c>
      <c r="B267" s="5">
        <v>44946</v>
      </c>
      <c r="C267" s="4" t="s">
        <v>204</v>
      </c>
      <c r="D267" s="4" t="s">
        <v>205</v>
      </c>
      <c r="E267" s="4" t="s">
        <v>35</v>
      </c>
      <c r="F267" s="4" t="s">
        <v>19</v>
      </c>
      <c r="G267" s="4" t="s">
        <v>126</v>
      </c>
      <c r="H267" s="4" t="s">
        <v>178</v>
      </c>
      <c r="I267" s="4">
        <v>3</v>
      </c>
      <c r="J267" s="4">
        <v>2800</v>
      </c>
      <c r="K267" s="4">
        <v>10</v>
      </c>
      <c r="L267" s="4">
        <v>7560</v>
      </c>
      <c r="M267" s="4" t="s">
        <v>71</v>
      </c>
      <c r="N267" s="4" t="s">
        <v>23</v>
      </c>
      <c r="O267" s="4">
        <v>0</v>
      </c>
      <c r="P267" s="6">
        <f t="shared" si="32"/>
        <v>8400</v>
      </c>
      <c r="Q267" s="6">
        <f t="shared" si="33"/>
        <v>840</v>
      </c>
      <c r="R267" s="6">
        <f t="shared" si="34"/>
        <v>1512</v>
      </c>
      <c r="S267" s="6" t="str">
        <f t="shared" si="35"/>
        <v>Jan</v>
      </c>
      <c r="T267" s="6">
        <f t="shared" si="36"/>
        <v>2023</v>
      </c>
      <c r="U267" s="6" t="str">
        <f t="shared" si="37"/>
        <v>Fast</v>
      </c>
      <c r="V267" s="6" t="str">
        <f t="shared" si="38"/>
        <v>High Value</v>
      </c>
      <c r="W267" s="6" t="str">
        <f t="shared" si="39"/>
        <v>No</v>
      </c>
    </row>
    <row r="268" spans="1:23" x14ac:dyDescent="0.3">
      <c r="A268" s="8" t="s">
        <v>590</v>
      </c>
      <c r="B268" s="3">
        <v>44976</v>
      </c>
      <c r="C268" s="2" t="s">
        <v>507</v>
      </c>
      <c r="D268" s="2" t="s">
        <v>508</v>
      </c>
      <c r="E268" s="2" t="s">
        <v>171</v>
      </c>
      <c r="F268" s="2" t="s">
        <v>19</v>
      </c>
      <c r="G268" s="2" t="s">
        <v>47</v>
      </c>
      <c r="H268" s="2" t="s">
        <v>424</v>
      </c>
      <c r="I268" s="2">
        <v>2</v>
      </c>
      <c r="J268" s="2">
        <v>800</v>
      </c>
      <c r="K268" s="2">
        <v>0</v>
      </c>
      <c r="L268" s="2">
        <v>1600</v>
      </c>
      <c r="M268" s="2" t="s">
        <v>22</v>
      </c>
      <c r="N268" s="2" t="s">
        <v>64</v>
      </c>
      <c r="O268" s="2">
        <v>5</v>
      </c>
      <c r="P268" s="6">
        <f t="shared" si="32"/>
        <v>1600</v>
      </c>
      <c r="Q268" s="6">
        <f t="shared" si="33"/>
        <v>0</v>
      </c>
      <c r="R268" s="6">
        <f t="shared" si="34"/>
        <v>320</v>
      </c>
      <c r="S268" s="6" t="str">
        <f t="shared" si="35"/>
        <v>Feb</v>
      </c>
      <c r="T268" s="6">
        <f t="shared" si="36"/>
        <v>2023</v>
      </c>
      <c r="U268" s="6" t="str">
        <f t="shared" si="37"/>
        <v>Delayed</v>
      </c>
      <c r="V268" s="6" t="str">
        <f t="shared" si="38"/>
        <v>Normal</v>
      </c>
      <c r="W268" s="6" t="str">
        <f t="shared" si="39"/>
        <v>Yes</v>
      </c>
    </row>
    <row r="269" spans="1:23" x14ac:dyDescent="0.3">
      <c r="A269" s="9" t="s">
        <v>591</v>
      </c>
      <c r="B269" s="5">
        <v>45251</v>
      </c>
      <c r="C269" s="4" t="s">
        <v>100</v>
      </c>
      <c r="D269" s="4" t="s">
        <v>101</v>
      </c>
      <c r="E269" s="4" t="s">
        <v>27</v>
      </c>
      <c r="F269" s="4" t="s">
        <v>19</v>
      </c>
      <c r="G269" s="4" t="s">
        <v>126</v>
      </c>
      <c r="H269" s="4" t="s">
        <v>189</v>
      </c>
      <c r="I269" s="4">
        <v>1</v>
      </c>
      <c r="J269" s="4">
        <v>4500</v>
      </c>
      <c r="K269" s="4">
        <v>0</v>
      </c>
      <c r="L269" s="4">
        <v>4500</v>
      </c>
      <c r="M269" s="4" t="s">
        <v>30</v>
      </c>
      <c r="N269" s="4" t="s">
        <v>37</v>
      </c>
      <c r="O269" s="4">
        <v>2</v>
      </c>
      <c r="P269" s="6">
        <f t="shared" si="32"/>
        <v>4500</v>
      </c>
      <c r="Q269" s="6">
        <f t="shared" si="33"/>
        <v>0</v>
      </c>
      <c r="R269" s="6">
        <f t="shared" si="34"/>
        <v>900</v>
      </c>
      <c r="S269" s="6" t="str">
        <f t="shared" si="35"/>
        <v>Nov</v>
      </c>
      <c r="T269" s="6">
        <f t="shared" si="36"/>
        <v>2023</v>
      </c>
      <c r="U269" s="6" t="str">
        <f t="shared" si="37"/>
        <v>Fast</v>
      </c>
      <c r="V269" s="6" t="str">
        <f t="shared" si="38"/>
        <v>Normal</v>
      </c>
      <c r="W269" s="6" t="str">
        <f t="shared" si="39"/>
        <v>No</v>
      </c>
    </row>
    <row r="270" spans="1:23" x14ac:dyDescent="0.3">
      <c r="A270" s="8" t="s">
        <v>592</v>
      </c>
      <c r="B270" s="3">
        <v>45158</v>
      </c>
      <c r="C270" s="2" t="s">
        <v>157</v>
      </c>
      <c r="D270" s="2" t="s">
        <v>158</v>
      </c>
      <c r="E270" s="2" t="s">
        <v>159</v>
      </c>
      <c r="F270" s="2" t="s">
        <v>19</v>
      </c>
      <c r="G270" s="2" t="s">
        <v>54</v>
      </c>
      <c r="H270" s="2" t="s">
        <v>467</v>
      </c>
      <c r="I270" s="2">
        <v>1</v>
      </c>
      <c r="J270" s="2">
        <v>220</v>
      </c>
      <c r="K270" s="2">
        <v>0</v>
      </c>
      <c r="L270" s="2">
        <v>220</v>
      </c>
      <c r="M270" s="2" t="s">
        <v>22</v>
      </c>
      <c r="N270" s="2" t="s">
        <v>37</v>
      </c>
      <c r="O270" s="2">
        <v>7</v>
      </c>
      <c r="P270" s="6">
        <f t="shared" si="32"/>
        <v>220</v>
      </c>
      <c r="Q270" s="6">
        <f t="shared" si="33"/>
        <v>0</v>
      </c>
      <c r="R270" s="6">
        <f t="shared" si="34"/>
        <v>44</v>
      </c>
      <c r="S270" s="6" t="str">
        <f t="shared" si="35"/>
        <v>Aug</v>
      </c>
      <c r="T270" s="6">
        <f t="shared" si="36"/>
        <v>2023</v>
      </c>
      <c r="U270" s="6" t="str">
        <f t="shared" si="37"/>
        <v>Delayed</v>
      </c>
      <c r="V270" s="6" t="str">
        <f t="shared" si="38"/>
        <v>Normal</v>
      </c>
      <c r="W270" s="6" t="str">
        <f t="shared" si="39"/>
        <v>Yes</v>
      </c>
    </row>
    <row r="271" spans="1:23" x14ac:dyDescent="0.3">
      <c r="A271" s="9" t="s">
        <v>593</v>
      </c>
      <c r="B271" s="5">
        <v>45253</v>
      </c>
      <c r="C271" s="4" t="s">
        <v>272</v>
      </c>
      <c r="D271" s="4" t="s">
        <v>273</v>
      </c>
      <c r="E271" s="4" t="s">
        <v>27</v>
      </c>
      <c r="F271" s="4" t="s">
        <v>19</v>
      </c>
      <c r="G271" s="4" t="s">
        <v>20</v>
      </c>
      <c r="H271" s="4" t="s">
        <v>327</v>
      </c>
      <c r="I271" s="4">
        <v>4</v>
      </c>
      <c r="J271" s="4">
        <v>950</v>
      </c>
      <c r="K271" s="4">
        <v>5</v>
      </c>
      <c r="L271" s="4">
        <v>3610</v>
      </c>
      <c r="M271" s="4" t="s">
        <v>107</v>
      </c>
      <c r="N271" s="4" t="s">
        <v>37</v>
      </c>
      <c r="O271" s="4">
        <v>8</v>
      </c>
      <c r="P271" s="6">
        <f t="shared" si="32"/>
        <v>3800</v>
      </c>
      <c r="Q271" s="6">
        <f t="shared" si="33"/>
        <v>190</v>
      </c>
      <c r="R271" s="6">
        <f t="shared" si="34"/>
        <v>722</v>
      </c>
      <c r="S271" s="6" t="str">
        <f t="shared" si="35"/>
        <v>Nov</v>
      </c>
      <c r="T271" s="6">
        <f t="shared" si="36"/>
        <v>2023</v>
      </c>
      <c r="U271" s="6" t="str">
        <f t="shared" si="37"/>
        <v>Delayed</v>
      </c>
      <c r="V271" s="6" t="str">
        <f t="shared" si="38"/>
        <v>Normal</v>
      </c>
      <c r="W271" s="6" t="str">
        <f t="shared" si="39"/>
        <v>No</v>
      </c>
    </row>
    <row r="272" spans="1:23" x14ac:dyDescent="0.3">
      <c r="A272" s="8" t="s">
        <v>594</v>
      </c>
      <c r="B272" s="3">
        <v>44991</v>
      </c>
      <c r="C272" s="2" t="s">
        <v>289</v>
      </c>
      <c r="D272" s="2" t="s">
        <v>290</v>
      </c>
      <c r="E272" s="2" t="s">
        <v>41</v>
      </c>
      <c r="F272" s="2" t="s">
        <v>19</v>
      </c>
      <c r="G272" s="2" t="s">
        <v>149</v>
      </c>
      <c r="H272" s="2" t="s">
        <v>334</v>
      </c>
      <c r="I272" s="2">
        <v>4</v>
      </c>
      <c r="J272" s="2">
        <v>750</v>
      </c>
      <c r="K272" s="2">
        <v>0</v>
      </c>
      <c r="L272" s="2">
        <v>3000</v>
      </c>
      <c r="M272" s="2" t="s">
        <v>107</v>
      </c>
      <c r="N272" s="2" t="s">
        <v>64</v>
      </c>
      <c r="O272" s="2">
        <v>1</v>
      </c>
      <c r="P272" s="6">
        <f t="shared" si="32"/>
        <v>3000</v>
      </c>
      <c r="Q272" s="6">
        <f t="shared" si="33"/>
        <v>0</v>
      </c>
      <c r="R272" s="6">
        <f t="shared" si="34"/>
        <v>600</v>
      </c>
      <c r="S272" s="6" t="str">
        <f t="shared" si="35"/>
        <v>Mar</v>
      </c>
      <c r="T272" s="6">
        <f t="shared" si="36"/>
        <v>2023</v>
      </c>
      <c r="U272" s="6" t="str">
        <f t="shared" si="37"/>
        <v>Fast</v>
      </c>
      <c r="V272" s="6" t="str">
        <f t="shared" si="38"/>
        <v>Normal</v>
      </c>
      <c r="W272" s="6" t="str">
        <f t="shared" si="39"/>
        <v>No</v>
      </c>
    </row>
    <row r="273" spans="1:23" x14ac:dyDescent="0.3">
      <c r="A273" s="9" t="s">
        <v>595</v>
      </c>
      <c r="B273" s="5">
        <v>45219</v>
      </c>
      <c r="C273" s="4" t="s">
        <v>382</v>
      </c>
      <c r="D273" s="4" t="s">
        <v>349</v>
      </c>
      <c r="E273" s="4" t="s">
        <v>35</v>
      </c>
      <c r="F273" s="4" t="s">
        <v>19</v>
      </c>
      <c r="G273" s="4" t="s">
        <v>126</v>
      </c>
      <c r="H273" s="4" t="s">
        <v>337</v>
      </c>
      <c r="I273" s="4">
        <v>1</v>
      </c>
      <c r="J273" s="4">
        <v>2200</v>
      </c>
      <c r="K273" s="4">
        <v>20</v>
      </c>
      <c r="L273" s="4">
        <v>1760</v>
      </c>
      <c r="M273" s="4" t="s">
        <v>30</v>
      </c>
      <c r="N273" s="4" t="s">
        <v>37</v>
      </c>
      <c r="O273" s="4">
        <v>4</v>
      </c>
      <c r="P273" s="6">
        <f t="shared" si="32"/>
        <v>2200</v>
      </c>
      <c r="Q273" s="6">
        <f t="shared" si="33"/>
        <v>440</v>
      </c>
      <c r="R273" s="6">
        <f t="shared" si="34"/>
        <v>352</v>
      </c>
      <c r="S273" s="6" t="str">
        <f t="shared" si="35"/>
        <v>Oct</v>
      </c>
      <c r="T273" s="6">
        <f t="shared" si="36"/>
        <v>2023</v>
      </c>
      <c r="U273" s="6" t="str">
        <f t="shared" si="37"/>
        <v>Delayed</v>
      </c>
      <c r="V273" s="6" t="str">
        <f t="shared" si="38"/>
        <v>Normal</v>
      </c>
      <c r="W273" s="6" t="str">
        <f t="shared" si="39"/>
        <v>No</v>
      </c>
    </row>
    <row r="274" spans="1:23" x14ac:dyDescent="0.3">
      <c r="A274" s="8" t="s">
        <v>596</v>
      </c>
      <c r="B274" s="3">
        <v>45270</v>
      </c>
      <c r="C274" s="2" t="s">
        <v>551</v>
      </c>
      <c r="D274" s="2" t="s">
        <v>552</v>
      </c>
      <c r="E274" s="2" t="s">
        <v>18</v>
      </c>
      <c r="F274" s="2" t="s">
        <v>19</v>
      </c>
      <c r="G274" s="2" t="s">
        <v>28</v>
      </c>
      <c r="H274" s="2" t="s">
        <v>167</v>
      </c>
      <c r="I274" s="2">
        <v>2</v>
      </c>
      <c r="J274" s="2">
        <v>280</v>
      </c>
      <c r="K274" s="2">
        <v>15</v>
      </c>
      <c r="L274" s="2">
        <v>476</v>
      </c>
      <c r="M274" s="2" t="s">
        <v>43</v>
      </c>
      <c r="N274" s="2" t="s">
        <v>37</v>
      </c>
      <c r="O274" s="2">
        <v>4</v>
      </c>
      <c r="P274" s="6">
        <f t="shared" si="32"/>
        <v>560</v>
      </c>
      <c r="Q274" s="6">
        <f t="shared" si="33"/>
        <v>84</v>
      </c>
      <c r="R274" s="6">
        <f t="shared" si="34"/>
        <v>95.2</v>
      </c>
      <c r="S274" s="6" t="str">
        <f t="shared" si="35"/>
        <v>Dec</v>
      </c>
      <c r="T274" s="6">
        <f t="shared" si="36"/>
        <v>2023</v>
      </c>
      <c r="U274" s="6" t="str">
        <f t="shared" si="37"/>
        <v>Delayed</v>
      </c>
      <c r="V274" s="6" t="str">
        <f t="shared" si="38"/>
        <v>Normal</v>
      </c>
      <c r="W274" s="6" t="str">
        <f t="shared" si="39"/>
        <v>Yes</v>
      </c>
    </row>
    <row r="275" spans="1:23" x14ac:dyDescent="0.3">
      <c r="A275" s="9" t="s">
        <v>597</v>
      </c>
      <c r="B275" s="5">
        <v>45427</v>
      </c>
      <c r="C275" s="4" t="s">
        <v>57</v>
      </c>
      <c r="D275" s="4" t="s">
        <v>58</v>
      </c>
      <c r="E275" s="4" t="s">
        <v>18</v>
      </c>
      <c r="F275" s="4" t="s">
        <v>19</v>
      </c>
      <c r="G275" s="4" t="s">
        <v>28</v>
      </c>
      <c r="H275" s="4" t="s">
        <v>129</v>
      </c>
      <c r="I275" s="4">
        <v>1</v>
      </c>
      <c r="J275" s="4">
        <v>380</v>
      </c>
      <c r="K275" s="4">
        <v>10</v>
      </c>
      <c r="L275" s="4">
        <v>342</v>
      </c>
      <c r="M275" s="4" t="s">
        <v>43</v>
      </c>
      <c r="N275" s="4" t="s">
        <v>37</v>
      </c>
      <c r="O275" s="4">
        <v>10</v>
      </c>
      <c r="P275" s="6">
        <f t="shared" si="32"/>
        <v>380</v>
      </c>
      <c r="Q275" s="6">
        <f t="shared" si="33"/>
        <v>38</v>
      </c>
      <c r="R275" s="6">
        <f t="shared" si="34"/>
        <v>68.400000000000006</v>
      </c>
      <c r="S275" s="6" t="str">
        <f t="shared" si="35"/>
        <v>May</v>
      </c>
      <c r="T275" s="6">
        <f t="shared" si="36"/>
        <v>2024</v>
      </c>
      <c r="U275" s="6" t="str">
        <f t="shared" si="37"/>
        <v>Delayed</v>
      </c>
      <c r="V275" s="6" t="str">
        <f t="shared" si="38"/>
        <v>Normal</v>
      </c>
      <c r="W275" s="6" t="str">
        <f t="shared" si="39"/>
        <v>No</v>
      </c>
    </row>
    <row r="276" spans="1:23" x14ac:dyDescent="0.3">
      <c r="A276" s="8" t="s">
        <v>598</v>
      </c>
      <c r="B276" s="3">
        <v>44947</v>
      </c>
      <c r="C276" s="2" t="s">
        <v>394</v>
      </c>
      <c r="D276" s="2" t="s">
        <v>395</v>
      </c>
      <c r="E276" s="2" t="s">
        <v>83</v>
      </c>
      <c r="F276" s="2" t="s">
        <v>19</v>
      </c>
      <c r="G276" s="2" t="s">
        <v>91</v>
      </c>
      <c r="H276" s="2" t="s">
        <v>500</v>
      </c>
      <c r="I276" s="2">
        <v>2</v>
      </c>
      <c r="J276" s="2">
        <v>2500</v>
      </c>
      <c r="K276" s="2">
        <v>0</v>
      </c>
      <c r="L276" s="2">
        <v>5000</v>
      </c>
      <c r="M276" s="2" t="s">
        <v>43</v>
      </c>
      <c r="N276" s="2" t="s">
        <v>37</v>
      </c>
      <c r="O276" s="2">
        <v>7</v>
      </c>
      <c r="P276" s="6">
        <f t="shared" si="32"/>
        <v>5000</v>
      </c>
      <c r="Q276" s="6">
        <f t="shared" si="33"/>
        <v>0</v>
      </c>
      <c r="R276" s="6">
        <f t="shared" si="34"/>
        <v>1000</v>
      </c>
      <c r="S276" s="6" t="str">
        <f t="shared" si="35"/>
        <v>Jan</v>
      </c>
      <c r="T276" s="6">
        <f t="shared" si="36"/>
        <v>2023</v>
      </c>
      <c r="U276" s="6" t="str">
        <f t="shared" si="37"/>
        <v>Delayed</v>
      </c>
      <c r="V276" s="6" t="str">
        <f t="shared" si="38"/>
        <v>Normal</v>
      </c>
      <c r="W276" s="6" t="str">
        <f t="shared" si="39"/>
        <v>Yes</v>
      </c>
    </row>
    <row r="277" spans="1:23" x14ac:dyDescent="0.3">
      <c r="A277" s="9" t="s">
        <v>599</v>
      </c>
      <c r="B277" s="5">
        <v>45006</v>
      </c>
      <c r="C277" s="4" t="s">
        <v>448</v>
      </c>
      <c r="D277" s="4" t="s">
        <v>449</v>
      </c>
      <c r="E277" s="4" t="s">
        <v>27</v>
      </c>
      <c r="F277" s="4" t="s">
        <v>19</v>
      </c>
      <c r="G277" s="4" t="s">
        <v>54</v>
      </c>
      <c r="H277" s="4" t="s">
        <v>467</v>
      </c>
      <c r="I277" s="4">
        <v>4</v>
      </c>
      <c r="J277" s="4">
        <v>220</v>
      </c>
      <c r="K277" s="4">
        <v>5</v>
      </c>
      <c r="L277" s="4">
        <v>836</v>
      </c>
      <c r="M277" s="4" t="s">
        <v>30</v>
      </c>
      <c r="N277" s="4" t="s">
        <v>64</v>
      </c>
      <c r="O277" s="4">
        <v>2</v>
      </c>
      <c r="P277" s="6">
        <f t="shared" si="32"/>
        <v>880</v>
      </c>
      <c r="Q277" s="6">
        <f t="shared" si="33"/>
        <v>44</v>
      </c>
      <c r="R277" s="6">
        <f t="shared" si="34"/>
        <v>167.20000000000002</v>
      </c>
      <c r="S277" s="6" t="str">
        <f t="shared" si="35"/>
        <v>Mar</v>
      </c>
      <c r="T277" s="6">
        <f t="shared" si="36"/>
        <v>2023</v>
      </c>
      <c r="U277" s="6" t="str">
        <f t="shared" si="37"/>
        <v>Fast</v>
      </c>
      <c r="V277" s="6" t="str">
        <f t="shared" si="38"/>
        <v>Normal</v>
      </c>
      <c r="W277" s="6" t="str">
        <f t="shared" si="39"/>
        <v>No</v>
      </c>
    </row>
    <row r="278" spans="1:23" x14ac:dyDescent="0.3">
      <c r="A278" s="8" t="s">
        <v>600</v>
      </c>
      <c r="B278" s="3">
        <v>45214</v>
      </c>
      <c r="C278" s="2" t="s">
        <v>330</v>
      </c>
      <c r="D278" s="2" t="s">
        <v>331</v>
      </c>
      <c r="E278" s="2" t="s">
        <v>176</v>
      </c>
      <c r="F278" s="2" t="s">
        <v>177</v>
      </c>
      <c r="G278" s="2" t="s">
        <v>91</v>
      </c>
      <c r="H278" s="2" t="s">
        <v>291</v>
      </c>
      <c r="I278" s="2">
        <v>2</v>
      </c>
      <c r="J278" s="2">
        <v>45000</v>
      </c>
      <c r="K278" s="2">
        <v>15</v>
      </c>
      <c r="L278" s="2">
        <v>76500</v>
      </c>
      <c r="M278" s="2" t="s">
        <v>30</v>
      </c>
      <c r="N278" s="2" t="s">
        <v>37</v>
      </c>
      <c r="O278" s="2">
        <v>7</v>
      </c>
      <c r="P278" s="6">
        <f t="shared" si="32"/>
        <v>90000</v>
      </c>
      <c r="Q278" s="6">
        <f t="shared" si="33"/>
        <v>13500</v>
      </c>
      <c r="R278" s="6">
        <f t="shared" si="34"/>
        <v>15300</v>
      </c>
      <c r="S278" s="6" t="str">
        <f t="shared" si="35"/>
        <v>Oct</v>
      </c>
      <c r="T278" s="6">
        <f t="shared" si="36"/>
        <v>2023</v>
      </c>
      <c r="U278" s="6" t="str">
        <f t="shared" si="37"/>
        <v>Delayed</v>
      </c>
      <c r="V278" s="6" t="str">
        <f t="shared" si="38"/>
        <v>High Value</v>
      </c>
      <c r="W278" s="6" t="str">
        <f t="shared" si="39"/>
        <v>Yes</v>
      </c>
    </row>
    <row r="279" spans="1:23" x14ac:dyDescent="0.3">
      <c r="A279" s="9" t="s">
        <v>601</v>
      </c>
      <c r="B279" s="5">
        <v>45021</v>
      </c>
      <c r="C279" s="4" t="s">
        <v>297</v>
      </c>
      <c r="D279" s="4" t="s">
        <v>298</v>
      </c>
      <c r="E279" s="4" t="s">
        <v>299</v>
      </c>
      <c r="F279" s="4" t="s">
        <v>19</v>
      </c>
      <c r="G279" s="4" t="s">
        <v>28</v>
      </c>
      <c r="H279" s="4" t="s">
        <v>392</v>
      </c>
      <c r="I279" s="4">
        <v>3</v>
      </c>
      <c r="J279" s="4">
        <v>650</v>
      </c>
      <c r="K279" s="4">
        <v>0</v>
      </c>
      <c r="L279" s="4">
        <v>1950</v>
      </c>
      <c r="M279" s="4" t="s">
        <v>107</v>
      </c>
      <c r="N279" s="4" t="s">
        <v>23</v>
      </c>
      <c r="O279" s="4">
        <v>0</v>
      </c>
      <c r="P279" s="6">
        <f t="shared" si="32"/>
        <v>1950</v>
      </c>
      <c r="Q279" s="6">
        <f t="shared" si="33"/>
        <v>0</v>
      </c>
      <c r="R279" s="6">
        <f t="shared" si="34"/>
        <v>390</v>
      </c>
      <c r="S279" s="6" t="str">
        <f t="shared" si="35"/>
        <v>Apr</v>
      </c>
      <c r="T279" s="6">
        <f t="shared" si="36"/>
        <v>2023</v>
      </c>
      <c r="U279" s="6" t="str">
        <f t="shared" si="37"/>
        <v>Fast</v>
      </c>
      <c r="V279" s="6" t="str">
        <f t="shared" si="38"/>
        <v>Normal</v>
      </c>
      <c r="W279" s="6" t="str">
        <f t="shared" si="39"/>
        <v>No</v>
      </c>
    </row>
    <row r="280" spans="1:23" x14ac:dyDescent="0.3">
      <c r="A280" s="8" t="s">
        <v>602</v>
      </c>
      <c r="B280" s="3">
        <v>45124</v>
      </c>
      <c r="C280" s="2" t="s">
        <v>39</v>
      </c>
      <c r="D280" s="2" t="s">
        <v>40</v>
      </c>
      <c r="E280" s="2" t="s">
        <v>41</v>
      </c>
      <c r="F280" s="2" t="s">
        <v>19</v>
      </c>
      <c r="G280" s="2" t="s">
        <v>20</v>
      </c>
      <c r="H280" s="2" t="s">
        <v>202</v>
      </c>
      <c r="I280" s="2">
        <v>4</v>
      </c>
      <c r="J280" s="2">
        <v>650</v>
      </c>
      <c r="K280" s="2">
        <v>5</v>
      </c>
      <c r="L280" s="2">
        <v>2470</v>
      </c>
      <c r="M280" s="2" t="s">
        <v>22</v>
      </c>
      <c r="N280" s="2" t="s">
        <v>31</v>
      </c>
      <c r="O280" s="2">
        <v>2</v>
      </c>
      <c r="P280" s="6">
        <f t="shared" si="32"/>
        <v>2600</v>
      </c>
      <c r="Q280" s="6">
        <f t="shared" si="33"/>
        <v>130</v>
      </c>
      <c r="R280" s="6">
        <f t="shared" si="34"/>
        <v>494</v>
      </c>
      <c r="S280" s="6" t="str">
        <f t="shared" si="35"/>
        <v>Jul</v>
      </c>
      <c r="T280" s="6">
        <f t="shared" si="36"/>
        <v>2023</v>
      </c>
      <c r="U280" s="6" t="str">
        <f t="shared" si="37"/>
        <v>Fast</v>
      </c>
      <c r="V280" s="6" t="str">
        <f t="shared" si="38"/>
        <v>Normal</v>
      </c>
      <c r="W280" s="6" t="str">
        <f t="shared" si="39"/>
        <v>No</v>
      </c>
    </row>
    <row r="281" spans="1:23" x14ac:dyDescent="0.3">
      <c r="A281" s="9" t="s">
        <v>603</v>
      </c>
      <c r="B281" s="5">
        <v>45452</v>
      </c>
      <c r="C281" s="4" t="s">
        <v>441</v>
      </c>
      <c r="D281" s="4" t="s">
        <v>442</v>
      </c>
      <c r="E281" s="4" t="s">
        <v>41</v>
      </c>
      <c r="F281" s="4" t="s">
        <v>19</v>
      </c>
      <c r="G281" s="4" t="s">
        <v>47</v>
      </c>
      <c r="H281" s="4" t="s">
        <v>138</v>
      </c>
      <c r="I281" s="4">
        <v>3</v>
      </c>
      <c r="J281" s="4">
        <v>280</v>
      </c>
      <c r="K281" s="4">
        <v>20</v>
      </c>
      <c r="L281" s="4">
        <v>672</v>
      </c>
      <c r="M281" s="4" t="s">
        <v>143</v>
      </c>
      <c r="N281" s="4" t="s">
        <v>37</v>
      </c>
      <c r="O281" s="4">
        <v>2</v>
      </c>
      <c r="P281" s="6">
        <f t="shared" si="32"/>
        <v>840</v>
      </c>
      <c r="Q281" s="6">
        <f t="shared" si="33"/>
        <v>168</v>
      </c>
      <c r="R281" s="6">
        <f t="shared" si="34"/>
        <v>134.4</v>
      </c>
      <c r="S281" s="6" t="str">
        <f t="shared" si="35"/>
        <v>Jun</v>
      </c>
      <c r="T281" s="6">
        <f t="shared" si="36"/>
        <v>2024</v>
      </c>
      <c r="U281" s="6" t="str">
        <f t="shared" si="37"/>
        <v>Fast</v>
      </c>
      <c r="V281" s="6" t="str">
        <f t="shared" si="38"/>
        <v>Normal</v>
      </c>
      <c r="W281" s="6" t="str">
        <f t="shared" si="39"/>
        <v>Yes</v>
      </c>
    </row>
    <row r="282" spans="1:23" x14ac:dyDescent="0.3">
      <c r="A282" s="8" t="s">
        <v>604</v>
      </c>
      <c r="B282" s="3">
        <v>45126</v>
      </c>
      <c r="C282" s="2" t="s">
        <v>251</v>
      </c>
      <c r="D282" s="2" t="s">
        <v>252</v>
      </c>
      <c r="E282" s="2" t="s">
        <v>253</v>
      </c>
      <c r="F282" s="2" t="s">
        <v>155</v>
      </c>
      <c r="G282" s="2" t="s">
        <v>126</v>
      </c>
      <c r="H282" s="2" t="s">
        <v>127</v>
      </c>
      <c r="I282" s="2">
        <v>2</v>
      </c>
      <c r="J282" s="2">
        <v>850</v>
      </c>
      <c r="K282" s="2">
        <v>15</v>
      </c>
      <c r="L282" s="2">
        <v>1445</v>
      </c>
      <c r="M282" s="2" t="s">
        <v>22</v>
      </c>
      <c r="N282" s="2" t="s">
        <v>37</v>
      </c>
      <c r="O282" s="2">
        <v>6</v>
      </c>
      <c r="P282" s="6">
        <f t="shared" si="32"/>
        <v>1700</v>
      </c>
      <c r="Q282" s="6">
        <f t="shared" si="33"/>
        <v>255</v>
      </c>
      <c r="R282" s="6">
        <f t="shared" si="34"/>
        <v>289</v>
      </c>
      <c r="S282" s="6" t="str">
        <f t="shared" si="35"/>
        <v>Jul</v>
      </c>
      <c r="T282" s="6">
        <f t="shared" si="36"/>
        <v>2023</v>
      </c>
      <c r="U282" s="6" t="str">
        <f t="shared" si="37"/>
        <v>Delayed</v>
      </c>
      <c r="V282" s="6" t="str">
        <f t="shared" si="38"/>
        <v>Normal</v>
      </c>
      <c r="W282" s="6" t="str">
        <f t="shared" si="39"/>
        <v>No</v>
      </c>
    </row>
    <row r="283" spans="1:23" x14ac:dyDescent="0.3">
      <c r="A283" s="9" t="s">
        <v>605</v>
      </c>
      <c r="B283" s="5">
        <v>45024</v>
      </c>
      <c r="C283" s="4" t="s">
        <v>297</v>
      </c>
      <c r="D283" s="4" t="s">
        <v>298</v>
      </c>
      <c r="E283" s="4" t="s">
        <v>299</v>
      </c>
      <c r="F283" s="4" t="s">
        <v>19</v>
      </c>
      <c r="G283" s="4" t="s">
        <v>47</v>
      </c>
      <c r="H283" s="4" t="s">
        <v>443</v>
      </c>
      <c r="I283" s="4">
        <v>1</v>
      </c>
      <c r="J283" s="4">
        <v>350</v>
      </c>
      <c r="K283" s="4">
        <v>5</v>
      </c>
      <c r="L283" s="4">
        <v>332.5</v>
      </c>
      <c r="M283" s="4" t="s">
        <v>22</v>
      </c>
      <c r="N283" s="4" t="s">
        <v>37</v>
      </c>
      <c r="O283" s="4">
        <v>7</v>
      </c>
      <c r="P283" s="6">
        <f t="shared" si="32"/>
        <v>350</v>
      </c>
      <c r="Q283" s="6">
        <f t="shared" si="33"/>
        <v>17.5</v>
      </c>
      <c r="R283" s="6">
        <f t="shared" si="34"/>
        <v>66.5</v>
      </c>
      <c r="S283" s="6" t="str">
        <f t="shared" si="35"/>
        <v>Apr</v>
      </c>
      <c r="T283" s="6">
        <f t="shared" si="36"/>
        <v>2023</v>
      </c>
      <c r="U283" s="6" t="str">
        <f t="shared" si="37"/>
        <v>Delayed</v>
      </c>
      <c r="V283" s="6" t="str">
        <f t="shared" si="38"/>
        <v>Normal</v>
      </c>
      <c r="W283" s="6" t="str">
        <f t="shared" si="39"/>
        <v>Yes</v>
      </c>
    </row>
    <row r="284" spans="1:23" x14ac:dyDescent="0.3">
      <c r="A284" s="8" t="s">
        <v>606</v>
      </c>
      <c r="B284" s="3">
        <v>45427</v>
      </c>
      <c r="C284" s="2" t="s">
        <v>57</v>
      </c>
      <c r="D284" s="2" t="s">
        <v>58</v>
      </c>
      <c r="E284" s="2" t="s">
        <v>18</v>
      </c>
      <c r="F284" s="2" t="s">
        <v>19</v>
      </c>
      <c r="G284" s="2" t="s">
        <v>20</v>
      </c>
      <c r="H284" s="2" t="s">
        <v>355</v>
      </c>
      <c r="I284" s="2">
        <v>3</v>
      </c>
      <c r="J284" s="2">
        <v>800</v>
      </c>
      <c r="K284" s="2">
        <v>5</v>
      </c>
      <c r="L284" s="2">
        <v>2280</v>
      </c>
      <c r="M284" s="2" t="s">
        <v>107</v>
      </c>
      <c r="N284" s="2" t="s">
        <v>37</v>
      </c>
      <c r="O284" s="2">
        <v>4</v>
      </c>
      <c r="P284" s="6">
        <f t="shared" si="32"/>
        <v>2400</v>
      </c>
      <c r="Q284" s="6">
        <f t="shared" si="33"/>
        <v>120</v>
      </c>
      <c r="R284" s="6">
        <f t="shared" si="34"/>
        <v>456</v>
      </c>
      <c r="S284" s="6" t="str">
        <f t="shared" si="35"/>
        <v>May</v>
      </c>
      <c r="T284" s="6">
        <f t="shared" si="36"/>
        <v>2024</v>
      </c>
      <c r="U284" s="6" t="str">
        <f t="shared" si="37"/>
        <v>Delayed</v>
      </c>
      <c r="V284" s="6" t="str">
        <f t="shared" si="38"/>
        <v>Normal</v>
      </c>
      <c r="W284" s="6" t="str">
        <f t="shared" si="39"/>
        <v>No</v>
      </c>
    </row>
    <row r="285" spans="1:23" x14ac:dyDescent="0.3">
      <c r="A285" s="9" t="s">
        <v>607</v>
      </c>
      <c r="B285" s="5">
        <v>45300</v>
      </c>
      <c r="C285" s="4" t="s">
        <v>465</v>
      </c>
      <c r="D285" s="4" t="s">
        <v>466</v>
      </c>
      <c r="E285" s="4" t="s">
        <v>137</v>
      </c>
      <c r="F285" s="4" t="s">
        <v>19</v>
      </c>
      <c r="G285" s="4" t="s">
        <v>69</v>
      </c>
      <c r="H285" s="4" t="s">
        <v>435</v>
      </c>
      <c r="I285" s="4">
        <v>4</v>
      </c>
      <c r="J285" s="4">
        <v>3500</v>
      </c>
      <c r="K285" s="4">
        <v>20</v>
      </c>
      <c r="L285" s="4">
        <v>11200</v>
      </c>
      <c r="M285" s="4" t="s">
        <v>143</v>
      </c>
      <c r="N285" s="4" t="s">
        <v>37</v>
      </c>
      <c r="O285" s="4">
        <v>2</v>
      </c>
      <c r="P285" s="6">
        <f t="shared" si="32"/>
        <v>14000</v>
      </c>
      <c r="Q285" s="6">
        <f t="shared" si="33"/>
        <v>2800</v>
      </c>
      <c r="R285" s="6">
        <f t="shared" si="34"/>
        <v>2240</v>
      </c>
      <c r="S285" s="6" t="str">
        <f t="shared" si="35"/>
        <v>Jan</v>
      </c>
      <c r="T285" s="6">
        <f t="shared" si="36"/>
        <v>2024</v>
      </c>
      <c r="U285" s="6" t="str">
        <f t="shared" si="37"/>
        <v>Fast</v>
      </c>
      <c r="V285" s="6" t="str">
        <f t="shared" si="38"/>
        <v>High Value</v>
      </c>
      <c r="W285" s="6" t="str">
        <f t="shared" si="39"/>
        <v>No</v>
      </c>
    </row>
    <row r="286" spans="1:23" x14ac:dyDescent="0.3">
      <c r="A286" s="8" t="s">
        <v>608</v>
      </c>
      <c r="B286" s="3">
        <v>44931</v>
      </c>
      <c r="C286" s="2" t="s">
        <v>122</v>
      </c>
      <c r="D286" s="2" t="s">
        <v>123</v>
      </c>
      <c r="E286" s="2" t="s">
        <v>68</v>
      </c>
      <c r="F286" s="2" t="s">
        <v>19</v>
      </c>
      <c r="G286" s="2" t="s">
        <v>47</v>
      </c>
      <c r="H286" s="2" t="s">
        <v>217</v>
      </c>
      <c r="I286" s="2">
        <v>2</v>
      </c>
      <c r="J286" s="2">
        <v>1200</v>
      </c>
      <c r="K286" s="2">
        <v>15</v>
      </c>
      <c r="L286" s="2">
        <v>2040</v>
      </c>
      <c r="M286" s="2" t="s">
        <v>22</v>
      </c>
      <c r="N286" s="2" t="s">
        <v>37</v>
      </c>
      <c r="O286" s="2">
        <v>7</v>
      </c>
      <c r="P286" s="6">
        <f t="shared" si="32"/>
        <v>2400</v>
      </c>
      <c r="Q286" s="6">
        <f t="shared" si="33"/>
        <v>360</v>
      </c>
      <c r="R286" s="6">
        <f t="shared" si="34"/>
        <v>408</v>
      </c>
      <c r="S286" s="6" t="str">
        <f t="shared" si="35"/>
        <v>Jan</v>
      </c>
      <c r="T286" s="6">
        <f t="shared" si="36"/>
        <v>2023</v>
      </c>
      <c r="U286" s="6" t="str">
        <f t="shared" si="37"/>
        <v>Delayed</v>
      </c>
      <c r="V286" s="6" t="str">
        <f t="shared" si="38"/>
        <v>Normal</v>
      </c>
      <c r="W286" s="6" t="str">
        <f t="shared" si="39"/>
        <v>No</v>
      </c>
    </row>
    <row r="287" spans="1:23" x14ac:dyDescent="0.3">
      <c r="A287" s="9" t="s">
        <v>609</v>
      </c>
      <c r="B287" s="5">
        <v>45120</v>
      </c>
      <c r="C287" s="4" t="s">
        <v>584</v>
      </c>
      <c r="D287" s="4" t="s">
        <v>585</v>
      </c>
      <c r="E287" s="4" t="s">
        <v>90</v>
      </c>
      <c r="F287" s="4" t="s">
        <v>19</v>
      </c>
      <c r="G287" s="4" t="s">
        <v>28</v>
      </c>
      <c r="H287" s="4" t="s">
        <v>306</v>
      </c>
      <c r="I287" s="4">
        <v>3</v>
      </c>
      <c r="J287" s="4">
        <v>260</v>
      </c>
      <c r="K287" s="4">
        <v>0</v>
      </c>
      <c r="L287" s="4">
        <v>780</v>
      </c>
      <c r="M287" s="4" t="s">
        <v>43</v>
      </c>
      <c r="N287" s="4" t="s">
        <v>37</v>
      </c>
      <c r="O287" s="4">
        <v>6</v>
      </c>
      <c r="P287" s="6">
        <f t="shared" si="32"/>
        <v>780</v>
      </c>
      <c r="Q287" s="6">
        <f t="shared" si="33"/>
        <v>0</v>
      </c>
      <c r="R287" s="6">
        <f t="shared" si="34"/>
        <v>156</v>
      </c>
      <c r="S287" s="6" t="str">
        <f t="shared" si="35"/>
        <v>Jul</v>
      </c>
      <c r="T287" s="6">
        <f t="shared" si="36"/>
        <v>2023</v>
      </c>
      <c r="U287" s="6" t="str">
        <f t="shared" si="37"/>
        <v>Delayed</v>
      </c>
      <c r="V287" s="6" t="str">
        <f t="shared" si="38"/>
        <v>Normal</v>
      </c>
      <c r="W287" s="6" t="str">
        <f t="shared" si="39"/>
        <v>No</v>
      </c>
    </row>
    <row r="288" spans="1:23" x14ac:dyDescent="0.3">
      <c r="A288" s="8" t="s">
        <v>610</v>
      </c>
      <c r="B288" s="3">
        <v>45264</v>
      </c>
      <c r="C288" s="2" t="s">
        <v>507</v>
      </c>
      <c r="D288" s="2" t="s">
        <v>508</v>
      </c>
      <c r="E288" s="2" t="s">
        <v>171</v>
      </c>
      <c r="F288" s="2" t="s">
        <v>19</v>
      </c>
      <c r="G288" s="2" t="s">
        <v>47</v>
      </c>
      <c r="H288" s="2" t="s">
        <v>138</v>
      </c>
      <c r="I288" s="2">
        <v>1</v>
      </c>
      <c r="J288" s="2">
        <v>280</v>
      </c>
      <c r="K288" s="2">
        <v>0</v>
      </c>
      <c r="L288" s="2">
        <v>280</v>
      </c>
      <c r="M288" s="2" t="s">
        <v>71</v>
      </c>
      <c r="N288" s="2" t="s">
        <v>23</v>
      </c>
      <c r="O288" s="2">
        <v>0</v>
      </c>
      <c r="P288" s="6">
        <f t="shared" si="32"/>
        <v>280</v>
      </c>
      <c r="Q288" s="6">
        <f t="shared" si="33"/>
        <v>0</v>
      </c>
      <c r="R288" s="6">
        <f t="shared" si="34"/>
        <v>56</v>
      </c>
      <c r="S288" s="6" t="str">
        <f t="shared" si="35"/>
        <v>Dec</v>
      </c>
      <c r="T288" s="6">
        <f t="shared" si="36"/>
        <v>2023</v>
      </c>
      <c r="U288" s="6" t="str">
        <f t="shared" si="37"/>
        <v>Fast</v>
      </c>
      <c r="V288" s="6" t="str">
        <f t="shared" si="38"/>
        <v>Normal</v>
      </c>
      <c r="W288" s="6" t="str">
        <f t="shared" si="39"/>
        <v>No</v>
      </c>
    </row>
    <row r="289" spans="1:23" x14ac:dyDescent="0.3">
      <c r="A289" s="9" t="s">
        <v>611</v>
      </c>
      <c r="B289" s="5">
        <v>45357</v>
      </c>
      <c r="C289" s="4" t="s">
        <v>390</v>
      </c>
      <c r="D289" s="4" t="s">
        <v>391</v>
      </c>
      <c r="E289" s="4" t="s">
        <v>176</v>
      </c>
      <c r="F289" s="4" t="s">
        <v>177</v>
      </c>
      <c r="G289" s="4" t="s">
        <v>149</v>
      </c>
      <c r="H289" s="4" t="s">
        <v>182</v>
      </c>
      <c r="I289" s="4">
        <v>3</v>
      </c>
      <c r="J289" s="4">
        <v>180</v>
      </c>
      <c r="K289" s="4">
        <v>20</v>
      </c>
      <c r="L289" s="4">
        <v>432</v>
      </c>
      <c r="M289" s="4" t="s">
        <v>22</v>
      </c>
      <c r="N289" s="4" t="s">
        <v>37</v>
      </c>
      <c r="O289" s="4">
        <v>3</v>
      </c>
      <c r="P289" s="6">
        <f t="shared" si="32"/>
        <v>540</v>
      </c>
      <c r="Q289" s="6">
        <f t="shared" si="33"/>
        <v>108</v>
      </c>
      <c r="R289" s="6">
        <f t="shared" si="34"/>
        <v>86.4</v>
      </c>
      <c r="S289" s="6" t="str">
        <f t="shared" si="35"/>
        <v>Mar</v>
      </c>
      <c r="T289" s="6">
        <f t="shared" si="36"/>
        <v>2024</v>
      </c>
      <c r="U289" s="6" t="str">
        <f t="shared" si="37"/>
        <v>Fast</v>
      </c>
      <c r="V289" s="6" t="str">
        <f t="shared" si="38"/>
        <v>Normal</v>
      </c>
      <c r="W289" s="6" t="str">
        <f t="shared" si="39"/>
        <v>No</v>
      </c>
    </row>
    <row r="290" spans="1:23" x14ac:dyDescent="0.3">
      <c r="A290" s="8" t="s">
        <v>612</v>
      </c>
      <c r="B290" s="3">
        <v>45099</v>
      </c>
      <c r="C290" s="2" t="s">
        <v>613</v>
      </c>
      <c r="D290" s="2" t="s">
        <v>614</v>
      </c>
      <c r="E290" s="2" t="s">
        <v>154</v>
      </c>
      <c r="F290" s="2" t="s">
        <v>155</v>
      </c>
      <c r="G290" s="2" t="s">
        <v>126</v>
      </c>
      <c r="H290" s="2" t="s">
        <v>222</v>
      </c>
      <c r="I290" s="2">
        <v>4</v>
      </c>
      <c r="J290" s="2">
        <v>650</v>
      </c>
      <c r="K290" s="2">
        <v>15</v>
      </c>
      <c r="L290" s="2">
        <v>2210</v>
      </c>
      <c r="M290" s="2" t="s">
        <v>43</v>
      </c>
      <c r="N290" s="2" t="s">
        <v>37</v>
      </c>
      <c r="O290" s="2">
        <v>9</v>
      </c>
      <c r="P290" s="6">
        <f t="shared" si="32"/>
        <v>2600</v>
      </c>
      <c r="Q290" s="6">
        <f t="shared" si="33"/>
        <v>390</v>
      </c>
      <c r="R290" s="6">
        <f t="shared" si="34"/>
        <v>442</v>
      </c>
      <c r="S290" s="6" t="str">
        <f t="shared" si="35"/>
        <v>Jun</v>
      </c>
      <c r="T290" s="6">
        <f t="shared" si="36"/>
        <v>2023</v>
      </c>
      <c r="U290" s="6" t="str">
        <f t="shared" si="37"/>
        <v>Delayed</v>
      </c>
      <c r="V290" s="6" t="str">
        <f t="shared" si="38"/>
        <v>Normal</v>
      </c>
      <c r="W290" s="6" t="str">
        <f t="shared" si="39"/>
        <v>No</v>
      </c>
    </row>
    <row r="291" spans="1:23" x14ac:dyDescent="0.3">
      <c r="A291" s="9" t="s">
        <v>615</v>
      </c>
      <c r="B291" s="5">
        <v>45197</v>
      </c>
      <c r="C291" s="4" t="s">
        <v>94</v>
      </c>
      <c r="D291" s="4" t="s">
        <v>95</v>
      </c>
      <c r="E291" s="4" t="s">
        <v>79</v>
      </c>
      <c r="F291" s="4" t="s">
        <v>79</v>
      </c>
      <c r="G291" s="4" t="s">
        <v>54</v>
      </c>
      <c r="H291" s="4" t="s">
        <v>86</v>
      </c>
      <c r="I291" s="4">
        <v>3</v>
      </c>
      <c r="J291" s="4">
        <v>450</v>
      </c>
      <c r="K291" s="4">
        <v>0</v>
      </c>
      <c r="L291" s="4">
        <v>1350</v>
      </c>
      <c r="M291" s="4" t="s">
        <v>143</v>
      </c>
      <c r="N291" s="4" t="s">
        <v>37</v>
      </c>
      <c r="O291" s="4">
        <v>4</v>
      </c>
      <c r="P291" s="6">
        <f t="shared" si="32"/>
        <v>1350</v>
      </c>
      <c r="Q291" s="6">
        <f t="shared" si="33"/>
        <v>0</v>
      </c>
      <c r="R291" s="6">
        <f t="shared" si="34"/>
        <v>270</v>
      </c>
      <c r="S291" s="6" t="str">
        <f t="shared" si="35"/>
        <v>Sep</v>
      </c>
      <c r="T291" s="6">
        <f t="shared" si="36"/>
        <v>2023</v>
      </c>
      <c r="U291" s="6" t="str">
        <f t="shared" si="37"/>
        <v>Delayed</v>
      </c>
      <c r="V291" s="6" t="str">
        <f t="shared" si="38"/>
        <v>Normal</v>
      </c>
      <c r="W291" s="6" t="str">
        <f t="shared" si="39"/>
        <v>No</v>
      </c>
    </row>
    <row r="292" spans="1:23" x14ac:dyDescent="0.3">
      <c r="A292" s="8" t="s">
        <v>616</v>
      </c>
      <c r="B292" s="3">
        <v>45411</v>
      </c>
      <c r="C292" s="2" t="s">
        <v>578</v>
      </c>
      <c r="D292" s="2" t="s">
        <v>579</v>
      </c>
      <c r="E292" s="2" t="s">
        <v>41</v>
      </c>
      <c r="F292" s="2" t="s">
        <v>19</v>
      </c>
      <c r="G292" s="2" t="s">
        <v>126</v>
      </c>
      <c r="H292" s="2" t="s">
        <v>127</v>
      </c>
      <c r="I292" s="2">
        <v>3</v>
      </c>
      <c r="J292" s="2">
        <v>850</v>
      </c>
      <c r="K292" s="2">
        <v>15</v>
      </c>
      <c r="L292" s="2">
        <v>2167.5</v>
      </c>
      <c r="M292" s="2" t="s">
        <v>43</v>
      </c>
      <c r="N292" s="2" t="s">
        <v>64</v>
      </c>
      <c r="O292" s="2">
        <v>5</v>
      </c>
      <c r="P292" s="6">
        <f t="shared" si="32"/>
        <v>2550</v>
      </c>
      <c r="Q292" s="6">
        <f t="shared" si="33"/>
        <v>382.5</v>
      </c>
      <c r="R292" s="6">
        <f t="shared" si="34"/>
        <v>433.5</v>
      </c>
      <c r="S292" s="6" t="str">
        <f t="shared" si="35"/>
        <v>Apr</v>
      </c>
      <c r="T292" s="6">
        <f t="shared" si="36"/>
        <v>2024</v>
      </c>
      <c r="U292" s="6" t="str">
        <f t="shared" si="37"/>
        <v>Delayed</v>
      </c>
      <c r="V292" s="6" t="str">
        <f t="shared" si="38"/>
        <v>Normal</v>
      </c>
      <c r="W292" s="6" t="str">
        <f t="shared" si="39"/>
        <v>No</v>
      </c>
    </row>
    <row r="293" spans="1:23" x14ac:dyDescent="0.3">
      <c r="A293" s="9" t="s">
        <v>617</v>
      </c>
      <c r="B293" s="5">
        <v>45306</v>
      </c>
      <c r="C293" s="4" t="s">
        <v>618</v>
      </c>
      <c r="D293" s="4" t="s">
        <v>619</v>
      </c>
      <c r="E293" s="4" t="s">
        <v>230</v>
      </c>
      <c r="F293" s="4" t="s">
        <v>19</v>
      </c>
      <c r="G293" s="4" t="s">
        <v>126</v>
      </c>
      <c r="H293" s="4" t="s">
        <v>261</v>
      </c>
      <c r="I293" s="4">
        <v>3</v>
      </c>
      <c r="J293" s="4">
        <v>9500</v>
      </c>
      <c r="K293" s="4">
        <v>20</v>
      </c>
      <c r="L293" s="4">
        <v>22800</v>
      </c>
      <c r="M293" s="4" t="s">
        <v>43</v>
      </c>
      <c r="N293" s="4" t="s">
        <v>37</v>
      </c>
      <c r="O293" s="4">
        <v>5</v>
      </c>
      <c r="P293" s="6">
        <f t="shared" si="32"/>
        <v>28500</v>
      </c>
      <c r="Q293" s="6">
        <f t="shared" si="33"/>
        <v>5700</v>
      </c>
      <c r="R293" s="6">
        <f t="shared" si="34"/>
        <v>4560</v>
      </c>
      <c r="S293" s="6" t="str">
        <f t="shared" si="35"/>
        <v>Jan</v>
      </c>
      <c r="T293" s="6">
        <f t="shared" si="36"/>
        <v>2024</v>
      </c>
      <c r="U293" s="6" t="str">
        <f t="shared" si="37"/>
        <v>Delayed</v>
      </c>
      <c r="V293" s="6" t="str">
        <f t="shared" si="38"/>
        <v>High Value</v>
      </c>
      <c r="W293" s="6" t="str">
        <f t="shared" si="39"/>
        <v>No</v>
      </c>
    </row>
    <row r="294" spans="1:23" x14ac:dyDescent="0.3">
      <c r="A294" s="8" t="s">
        <v>620</v>
      </c>
      <c r="B294" s="3">
        <v>45311</v>
      </c>
      <c r="C294" s="2" t="s">
        <v>81</v>
      </c>
      <c r="D294" s="2" t="s">
        <v>82</v>
      </c>
      <c r="E294" s="2" t="s">
        <v>83</v>
      </c>
      <c r="F294" s="2" t="s">
        <v>19</v>
      </c>
      <c r="G294" s="2" t="s">
        <v>149</v>
      </c>
      <c r="H294" s="2" t="s">
        <v>463</v>
      </c>
      <c r="I294" s="2">
        <v>3</v>
      </c>
      <c r="J294" s="2">
        <v>380</v>
      </c>
      <c r="K294" s="2">
        <v>10</v>
      </c>
      <c r="L294" s="2">
        <v>1026</v>
      </c>
      <c r="M294" s="2" t="s">
        <v>71</v>
      </c>
      <c r="N294" s="2" t="s">
        <v>37</v>
      </c>
      <c r="O294" s="2">
        <v>9</v>
      </c>
      <c r="P294" s="6">
        <f t="shared" si="32"/>
        <v>1140</v>
      </c>
      <c r="Q294" s="6">
        <f t="shared" si="33"/>
        <v>114</v>
      </c>
      <c r="R294" s="6">
        <f t="shared" si="34"/>
        <v>205.20000000000002</v>
      </c>
      <c r="S294" s="6" t="str">
        <f t="shared" si="35"/>
        <v>Jan</v>
      </c>
      <c r="T294" s="6">
        <f t="shared" si="36"/>
        <v>2024</v>
      </c>
      <c r="U294" s="6" t="str">
        <f t="shared" si="37"/>
        <v>Delayed</v>
      </c>
      <c r="V294" s="6" t="str">
        <f t="shared" si="38"/>
        <v>Normal</v>
      </c>
      <c r="W294" s="6" t="str">
        <f t="shared" si="39"/>
        <v>Yes</v>
      </c>
    </row>
    <row r="295" spans="1:23" x14ac:dyDescent="0.3">
      <c r="A295" s="9" t="s">
        <v>621</v>
      </c>
      <c r="B295" s="5">
        <v>45460</v>
      </c>
      <c r="C295" s="4" t="s">
        <v>196</v>
      </c>
      <c r="D295" s="4" t="s">
        <v>197</v>
      </c>
      <c r="E295" s="4" t="s">
        <v>176</v>
      </c>
      <c r="F295" s="4" t="s">
        <v>177</v>
      </c>
      <c r="G295" s="4" t="s">
        <v>28</v>
      </c>
      <c r="H295" s="4" t="s">
        <v>29</v>
      </c>
      <c r="I295" s="4">
        <v>1</v>
      </c>
      <c r="J295" s="4">
        <v>1200</v>
      </c>
      <c r="K295" s="4">
        <v>5</v>
      </c>
      <c r="L295" s="4">
        <v>1140</v>
      </c>
      <c r="M295" s="4" t="s">
        <v>107</v>
      </c>
      <c r="N295" s="4" t="s">
        <v>64</v>
      </c>
      <c r="O295" s="4">
        <v>1</v>
      </c>
      <c r="P295" s="6">
        <f t="shared" si="32"/>
        <v>1200</v>
      </c>
      <c r="Q295" s="6">
        <f t="shared" si="33"/>
        <v>60</v>
      </c>
      <c r="R295" s="6">
        <f t="shared" si="34"/>
        <v>228</v>
      </c>
      <c r="S295" s="6" t="str">
        <f t="shared" si="35"/>
        <v>Jun</v>
      </c>
      <c r="T295" s="6">
        <f t="shared" si="36"/>
        <v>2024</v>
      </c>
      <c r="U295" s="6" t="str">
        <f t="shared" si="37"/>
        <v>Fast</v>
      </c>
      <c r="V295" s="6" t="str">
        <f t="shared" si="38"/>
        <v>Normal</v>
      </c>
      <c r="W295" s="6" t="str">
        <f t="shared" si="39"/>
        <v>No</v>
      </c>
    </row>
    <row r="296" spans="1:23" x14ac:dyDescent="0.3">
      <c r="A296" s="8" t="s">
        <v>622</v>
      </c>
      <c r="B296" s="3">
        <v>45109</v>
      </c>
      <c r="C296" s="2" t="s">
        <v>152</v>
      </c>
      <c r="D296" s="2" t="s">
        <v>153</v>
      </c>
      <c r="E296" s="2" t="s">
        <v>154</v>
      </c>
      <c r="F296" s="2" t="s">
        <v>155</v>
      </c>
      <c r="G296" s="2" t="s">
        <v>20</v>
      </c>
      <c r="H296" s="2" t="s">
        <v>202</v>
      </c>
      <c r="I296" s="2">
        <v>4</v>
      </c>
      <c r="J296" s="2">
        <v>650</v>
      </c>
      <c r="K296" s="2">
        <v>20</v>
      </c>
      <c r="L296" s="2">
        <v>2080</v>
      </c>
      <c r="M296" s="2" t="s">
        <v>143</v>
      </c>
      <c r="N296" s="2" t="s">
        <v>64</v>
      </c>
      <c r="O296" s="2">
        <v>5</v>
      </c>
      <c r="P296" s="6">
        <f t="shared" si="32"/>
        <v>2600</v>
      </c>
      <c r="Q296" s="6">
        <f t="shared" si="33"/>
        <v>520</v>
      </c>
      <c r="R296" s="6">
        <f t="shared" si="34"/>
        <v>416</v>
      </c>
      <c r="S296" s="6" t="str">
        <f t="shared" si="35"/>
        <v>Jul</v>
      </c>
      <c r="T296" s="6">
        <f t="shared" si="36"/>
        <v>2023</v>
      </c>
      <c r="U296" s="6" t="str">
        <f t="shared" si="37"/>
        <v>Delayed</v>
      </c>
      <c r="V296" s="6" t="str">
        <f t="shared" si="38"/>
        <v>Normal</v>
      </c>
      <c r="W296" s="6" t="str">
        <f t="shared" si="39"/>
        <v>Yes</v>
      </c>
    </row>
    <row r="297" spans="1:23" x14ac:dyDescent="0.3">
      <c r="A297" s="9" t="s">
        <v>623</v>
      </c>
      <c r="B297" s="5">
        <v>44958</v>
      </c>
      <c r="C297" s="4" t="s">
        <v>152</v>
      </c>
      <c r="D297" s="4" t="s">
        <v>153</v>
      </c>
      <c r="E297" s="4" t="s">
        <v>154</v>
      </c>
      <c r="F297" s="4" t="s">
        <v>155</v>
      </c>
      <c r="G297" s="4" t="s">
        <v>91</v>
      </c>
      <c r="H297" s="4" t="s">
        <v>163</v>
      </c>
      <c r="I297" s="4">
        <v>1</v>
      </c>
      <c r="J297" s="4">
        <v>900</v>
      </c>
      <c r="K297" s="4">
        <v>15</v>
      </c>
      <c r="L297" s="4">
        <v>765</v>
      </c>
      <c r="M297" s="4" t="s">
        <v>43</v>
      </c>
      <c r="N297" s="4" t="s">
        <v>37</v>
      </c>
      <c r="O297" s="4">
        <v>9</v>
      </c>
      <c r="P297" s="6">
        <f t="shared" si="32"/>
        <v>900</v>
      </c>
      <c r="Q297" s="6">
        <f t="shared" si="33"/>
        <v>135</v>
      </c>
      <c r="R297" s="6">
        <f t="shared" si="34"/>
        <v>153</v>
      </c>
      <c r="S297" s="6" t="str">
        <f t="shared" si="35"/>
        <v>Feb</v>
      </c>
      <c r="T297" s="6">
        <f t="shared" si="36"/>
        <v>2023</v>
      </c>
      <c r="U297" s="6" t="str">
        <f t="shared" si="37"/>
        <v>Delayed</v>
      </c>
      <c r="V297" s="6" t="str">
        <f t="shared" si="38"/>
        <v>Normal</v>
      </c>
      <c r="W297" s="6" t="str">
        <f t="shared" si="39"/>
        <v>No</v>
      </c>
    </row>
    <row r="298" spans="1:23" x14ac:dyDescent="0.3">
      <c r="A298" s="8" t="s">
        <v>624</v>
      </c>
      <c r="B298" s="3">
        <v>45454</v>
      </c>
      <c r="C298" s="2" t="s">
        <v>16</v>
      </c>
      <c r="D298" s="2" t="s">
        <v>17</v>
      </c>
      <c r="E298" s="2" t="s">
        <v>18</v>
      </c>
      <c r="F298" s="2" t="s">
        <v>19</v>
      </c>
      <c r="G298" s="2" t="s">
        <v>20</v>
      </c>
      <c r="H298" s="2" t="s">
        <v>202</v>
      </c>
      <c r="I298" s="2">
        <v>4</v>
      </c>
      <c r="J298" s="2">
        <v>650</v>
      </c>
      <c r="K298" s="2">
        <v>20</v>
      </c>
      <c r="L298" s="2">
        <v>2080</v>
      </c>
      <c r="M298" s="2" t="s">
        <v>43</v>
      </c>
      <c r="N298" s="2" t="s">
        <v>23</v>
      </c>
      <c r="O298" s="2">
        <v>0</v>
      </c>
      <c r="P298" s="6">
        <f t="shared" si="32"/>
        <v>2600</v>
      </c>
      <c r="Q298" s="6">
        <f t="shared" si="33"/>
        <v>520</v>
      </c>
      <c r="R298" s="6">
        <f t="shared" si="34"/>
        <v>416</v>
      </c>
      <c r="S298" s="6" t="str">
        <f t="shared" si="35"/>
        <v>Jun</v>
      </c>
      <c r="T298" s="6">
        <f t="shared" si="36"/>
        <v>2024</v>
      </c>
      <c r="U298" s="6" t="str">
        <f t="shared" si="37"/>
        <v>Fast</v>
      </c>
      <c r="V298" s="6" t="str">
        <f t="shared" si="38"/>
        <v>Normal</v>
      </c>
      <c r="W298" s="6" t="str">
        <f t="shared" si="39"/>
        <v>No</v>
      </c>
    </row>
    <row r="299" spans="1:23" x14ac:dyDescent="0.3">
      <c r="A299" s="9" t="s">
        <v>625</v>
      </c>
      <c r="B299" s="5">
        <v>45409</v>
      </c>
      <c r="C299" s="4" t="s">
        <v>310</v>
      </c>
      <c r="D299" s="4" t="s">
        <v>311</v>
      </c>
      <c r="E299" s="4" t="s">
        <v>253</v>
      </c>
      <c r="F299" s="4" t="s">
        <v>155</v>
      </c>
      <c r="G299" s="4" t="s">
        <v>149</v>
      </c>
      <c r="H299" s="4" t="s">
        <v>281</v>
      </c>
      <c r="I299" s="4">
        <v>4</v>
      </c>
      <c r="J299" s="4">
        <v>120</v>
      </c>
      <c r="K299" s="4">
        <v>20</v>
      </c>
      <c r="L299" s="4">
        <v>384</v>
      </c>
      <c r="M299" s="4" t="s">
        <v>143</v>
      </c>
      <c r="N299" s="4" t="s">
        <v>37</v>
      </c>
      <c r="O299" s="4">
        <v>1</v>
      </c>
      <c r="P299" s="6">
        <f t="shared" si="32"/>
        <v>480</v>
      </c>
      <c r="Q299" s="6">
        <f t="shared" si="33"/>
        <v>96</v>
      </c>
      <c r="R299" s="6">
        <f t="shared" si="34"/>
        <v>76.800000000000011</v>
      </c>
      <c r="S299" s="6" t="str">
        <f t="shared" si="35"/>
        <v>Apr</v>
      </c>
      <c r="T299" s="6">
        <f t="shared" si="36"/>
        <v>2024</v>
      </c>
      <c r="U299" s="6" t="str">
        <f t="shared" si="37"/>
        <v>Fast</v>
      </c>
      <c r="V299" s="6" t="str">
        <f t="shared" si="38"/>
        <v>Normal</v>
      </c>
      <c r="W299" s="6" t="str">
        <f t="shared" si="39"/>
        <v>Yes</v>
      </c>
    </row>
    <row r="300" spans="1:23" x14ac:dyDescent="0.3">
      <c r="A300" s="8" t="s">
        <v>626</v>
      </c>
      <c r="B300" s="3">
        <v>45462</v>
      </c>
      <c r="C300" s="2" t="s">
        <v>228</v>
      </c>
      <c r="D300" s="2" t="s">
        <v>229</v>
      </c>
      <c r="E300" s="2" t="s">
        <v>230</v>
      </c>
      <c r="F300" s="2" t="s">
        <v>19</v>
      </c>
      <c r="G300" s="2" t="s">
        <v>20</v>
      </c>
      <c r="H300" s="2" t="s">
        <v>116</v>
      </c>
      <c r="I300" s="2">
        <v>3</v>
      </c>
      <c r="J300" s="2">
        <v>450</v>
      </c>
      <c r="K300" s="2">
        <v>0</v>
      </c>
      <c r="L300" s="2">
        <v>1350</v>
      </c>
      <c r="M300" s="2" t="s">
        <v>30</v>
      </c>
      <c r="N300" s="2" t="s">
        <v>37</v>
      </c>
      <c r="O300" s="2">
        <v>7</v>
      </c>
      <c r="P300" s="6">
        <f t="shared" si="32"/>
        <v>1350</v>
      </c>
      <c r="Q300" s="6">
        <f t="shared" si="33"/>
        <v>0</v>
      </c>
      <c r="R300" s="6">
        <f t="shared" si="34"/>
        <v>270</v>
      </c>
      <c r="S300" s="6" t="str">
        <f t="shared" si="35"/>
        <v>Jun</v>
      </c>
      <c r="T300" s="6">
        <f t="shared" si="36"/>
        <v>2024</v>
      </c>
      <c r="U300" s="6" t="str">
        <f t="shared" si="37"/>
        <v>Delayed</v>
      </c>
      <c r="V300" s="6" t="str">
        <f t="shared" si="38"/>
        <v>Normal</v>
      </c>
      <c r="W300" s="6" t="str">
        <f t="shared" si="39"/>
        <v>No</v>
      </c>
    </row>
    <row r="301" spans="1:23" x14ac:dyDescent="0.3">
      <c r="A301" s="9" t="s">
        <v>627</v>
      </c>
      <c r="B301" s="5">
        <v>45378</v>
      </c>
      <c r="C301" s="4" t="s">
        <v>157</v>
      </c>
      <c r="D301" s="4" t="s">
        <v>158</v>
      </c>
      <c r="E301" s="4" t="s">
        <v>159</v>
      </c>
      <c r="F301" s="4" t="s">
        <v>19</v>
      </c>
      <c r="G301" s="4" t="s">
        <v>54</v>
      </c>
      <c r="H301" s="4" t="s">
        <v>75</v>
      </c>
      <c r="I301" s="4">
        <v>3</v>
      </c>
      <c r="J301" s="4">
        <v>55</v>
      </c>
      <c r="K301" s="4">
        <v>15</v>
      </c>
      <c r="L301" s="4">
        <v>140.25</v>
      </c>
      <c r="M301" s="4" t="s">
        <v>71</v>
      </c>
      <c r="N301" s="4" t="s">
        <v>64</v>
      </c>
      <c r="O301" s="4">
        <v>4</v>
      </c>
      <c r="P301" s="6">
        <f t="shared" si="32"/>
        <v>165</v>
      </c>
      <c r="Q301" s="6">
        <f t="shared" si="33"/>
        <v>24.75</v>
      </c>
      <c r="R301" s="6">
        <f t="shared" si="34"/>
        <v>28.05</v>
      </c>
      <c r="S301" s="6" t="str">
        <f t="shared" si="35"/>
        <v>Mar</v>
      </c>
      <c r="T301" s="6">
        <f t="shared" si="36"/>
        <v>2024</v>
      </c>
      <c r="U301" s="6" t="str">
        <f t="shared" si="37"/>
        <v>Delayed</v>
      </c>
      <c r="V301" s="6" t="str">
        <f t="shared" si="38"/>
        <v>Normal</v>
      </c>
      <c r="W301" s="6" t="str">
        <f t="shared" si="39"/>
        <v>No</v>
      </c>
    </row>
    <row r="302" spans="1:23" x14ac:dyDescent="0.3">
      <c r="A302" s="8" t="s">
        <v>628</v>
      </c>
      <c r="B302" s="3">
        <v>45330</v>
      </c>
      <c r="C302" s="2" t="s">
        <v>465</v>
      </c>
      <c r="D302" s="2" t="s">
        <v>466</v>
      </c>
      <c r="E302" s="2" t="s">
        <v>137</v>
      </c>
      <c r="F302" s="2" t="s">
        <v>19</v>
      </c>
      <c r="G302" s="2" t="s">
        <v>47</v>
      </c>
      <c r="H302" s="2" t="s">
        <v>424</v>
      </c>
      <c r="I302" s="2">
        <v>2</v>
      </c>
      <c r="J302" s="2">
        <v>800</v>
      </c>
      <c r="K302" s="2">
        <v>15</v>
      </c>
      <c r="L302" s="2">
        <v>1360</v>
      </c>
      <c r="M302" s="2" t="s">
        <v>71</v>
      </c>
      <c r="N302" s="2" t="s">
        <v>23</v>
      </c>
      <c r="O302" s="2">
        <v>0</v>
      </c>
      <c r="P302" s="6">
        <f t="shared" si="32"/>
        <v>1600</v>
      </c>
      <c r="Q302" s="6">
        <f t="shared" si="33"/>
        <v>240</v>
      </c>
      <c r="R302" s="6">
        <f t="shared" si="34"/>
        <v>272</v>
      </c>
      <c r="S302" s="6" t="str">
        <f t="shared" si="35"/>
        <v>Feb</v>
      </c>
      <c r="T302" s="6">
        <f t="shared" si="36"/>
        <v>2024</v>
      </c>
      <c r="U302" s="6" t="str">
        <f t="shared" si="37"/>
        <v>Fast</v>
      </c>
      <c r="V302" s="6" t="str">
        <f t="shared" si="38"/>
        <v>Normal</v>
      </c>
      <c r="W302" s="6" t="str">
        <f t="shared" si="39"/>
        <v>No</v>
      </c>
    </row>
    <row r="303" spans="1:23" x14ac:dyDescent="0.3">
      <c r="A303" s="9" t="s">
        <v>629</v>
      </c>
      <c r="B303" s="5">
        <v>44973</v>
      </c>
      <c r="C303" s="4" t="s">
        <v>157</v>
      </c>
      <c r="D303" s="4" t="s">
        <v>158</v>
      </c>
      <c r="E303" s="4" t="s">
        <v>159</v>
      </c>
      <c r="F303" s="4" t="s">
        <v>19</v>
      </c>
      <c r="G303" s="4" t="s">
        <v>126</v>
      </c>
      <c r="H303" s="4" t="s">
        <v>178</v>
      </c>
      <c r="I303" s="4">
        <v>4</v>
      </c>
      <c r="J303" s="4">
        <v>2800</v>
      </c>
      <c r="K303" s="4">
        <v>10</v>
      </c>
      <c r="L303" s="4">
        <v>10080</v>
      </c>
      <c r="M303" s="4" t="s">
        <v>43</v>
      </c>
      <c r="N303" s="4" t="s">
        <v>37</v>
      </c>
      <c r="O303" s="4">
        <v>9</v>
      </c>
      <c r="P303" s="6">
        <f t="shared" si="32"/>
        <v>11200</v>
      </c>
      <c r="Q303" s="6">
        <f t="shared" si="33"/>
        <v>1120</v>
      </c>
      <c r="R303" s="6">
        <f t="shared" si="34"/>
        <v>2016</v>
      </c>
      <c r="S303" s="6" t="str">
        <f t="shared" si="35"/>
        <v>Feb</v>
      </c>
      <c r="T303" s="6">
        <f t="shared" si="36"/>
        <v>2023</v>
      </c>
      <c r="U303" s="6" t="str">
        <f t="shared" si="37"/>
        <v>Delayed</v>
      </c>
      <c r="V303" s="6" t="str">
        <f t="shared" si="38"/>
        <v>High Value</v>
      </c>
      <c r="W303" s="6" t="str">
        <f t="shared" si="39"/>
        <v>No</v>
      </c>
    </row>
    <row r="304" spans="1:23" x14ac:dyDescent="0.3">
      <c r="A304" s="8" t="s">
        <v>630</v>
      </c>
      <c r="B304" s="3">
        <v>45197</v>
      </c>
      <c r="C304" s="2" t="s">
        <v>340</v>
      </c>
      <c r="D304" s="2" t="s">
        <v>341</v>
      </c>
      <c r="E304" s="2" t="s">
        <v>253</v>
      </c>
      <c r="F304" s="2" t="s">
        <v>155</v>
      </c>
      <c r="G304" s="2" t="s">
        <v>126</v>
      </c>
      <c r="H304" s="2" t="s">
        <v>231</v>
      </c>
      <c r="I304" s="2">
        <v>3</v>
      </c>
      <c r="J304" s="2">
        <v>350</v>
      </c>
      <c r="K304" s="2">
        <v>0</v>
      </c>
      <c r="L304" s="2">
        <v>1050</v>
      </c>
      <c r="M304" s="2" t="s">
        <v>43</v>
      </c>
      <c r="N304" s="2" t="s">
        <v>37</v>
      </c>
      <c r="O304" s="2">
        <v>1</v>
      </c>
      <c r="P304" s="6">
        <f t="shared" si="32"/>
        <v>1050</v>
      </c>
      <c r="Q304" s="6">
        <f t="shared" si="33"/>
        <v>0</v>
      </c>
      <c r="R304" s="6">
        <f t="shared" si="34"/>
        <v>210</v>
      </c>
      <c r="S304" s="6" t="str">
        <f t="shared" si="35"/>
        <v>Sep</v>
      </c>
      <c r="T304" s="6">
        <f t="shared" si="36"/>
        <v>2023</v>
      </c>
      <c r="U304" s="6" t="str">
        <f t="shared" si="37"/>
        <v>Fast</v>
      </c>
      <c r="V304" s="6" t="str">
        <f t="shared" si="38"/>
        <v>Normal</v>
      </c>
      <c r="W304" s="6" t="str">
        <f t="shared" si="39"/>
        <v>No</v>
      </c>
    </row>
    <row r="305" spans="1:23" x14ac:dyDescent="0.3">
      <c r="A305" s="9" t="s">
        <v>631</v>
      </c>
      <c r="B305" s="5">
        <v>45319</v>
      </c>
      <c r="C305" s="4" t="s">
        <v>394</v>
      </c>
      <c r="D305" s="4" t="s">
        <v>395</v>
      </c>
      <c r="E305" s="4" t="s">
        <v>83</v>
      </c>
      <c r="F305" s="4" t="s">
        <v>19</v>
      </c>
      <c r="G305" s="4" t="s">
        <v>149</v>
      </c>
      <c r="H305" s="4" t="s">
        <v>457</v>
      </c>
      <c r="I305" s="4">
        <v>4</v>
      </c>
      <c r="J305" s="4">
        <v>85</v>
      </c>
      <c r="K305" s="4">
        <v>0</v>
      </c>
      <c r="L305" s="4">
        <v>340</v>
      </c>
      <c r="M305" s="4" t="s">
        <v>43</v>
      </c>
      <c r="N305" s="4" t="s">
        <v>23</v>
      </c>
      <c r="O305" s="4">
        <v>0</v>
      </c>
      <c r="P305" s="6">
        <f t="shared" si="32"/>
        <v>340</v>
      </c>
      <c r="Q305" s="6">
        <f t="shared" si="33"/>
        <v>0</v>
      </c>
      <c r="R305" s="6">
        <f t="shared" si="34"/>
        <v>68</v>
      </c>
      <c r="S305" s="6" t="str">
        <f t="shared" si="35"/>
        <v>Jan</v>
      </c>
      <c r="T305" s="6">
        <f t="shared" si="36"/>
        <v>2024</v>
      </c>
      <c r="U305" s="6" t="str">
        <f t="shared" si="37"/>
        <v>Fast</v>
      </c>
      <c r="V305" s="6" t="str">
        <f t="shared" si="38"/>
        <v>Normal</v>
      </c>
      <c r="W305" s="6" t="str">
        <f t="shared" si="39"/>
        <v>Yes</v>
      </c>
    </row>
    <row r="306" spans="1:23" x14ac:dyDescent="0.3">
      <c r="A306" s="8" t="s">
        <v>632</v>
      </c>
      <c r="B306" s="3">
        <v>45414</v>
      </c>
      <c r="C306" s="2" t="s">
        <v>157</v>
      </c>
      <c r="D306" s="2" t="s">
        <v>158</v>
      </c>
      <c r="E306" s="2" t="s">
        <v>159</v>
      </c>
      <c r="F306" s="2" t="s">
        <v>19</v>
      </c>
      <c r="G306" s="2" t="s">
        <v>69</v>
      </c>
      <c r="H306" s="2" t="s">
        <v>482</v>
      </c>
      <c r="I306" s="2">
        <v>1</v>
      </c>
      <c r="J306" s="2">
        <v>2800</v>
      </c>
      <c r="K306" s="2">
        <v>15</v>
      </c>
      <c r="L306" s="2">
        <v>2380</v>
      </c>
      <c r="M306" s="2" t="s">
        <v>107</v>
      </c>
      <c r="N306" s="2" t="s">
        <v>64</v>
      </c>
      <c r="O306" s="2">
        <v>3</v>
      </c>
      <c r="P306" s="6">
        <f t="shared" si="32"/>
        <v>2800</v>
      </c>
      <c r="Q306" s="6">
        <f t="shared" si="33"/>
        <v>420</v>
      </c>
      <c r="R306" s="6">
        <f t="shared" si="34"/>
        <v>476</v>
      </c>
      <c r="S306" s="6" t="str">
        <f t="shared" si="35"/>
        <v>May</v>
      </c>
      <c r="T306" s="6">
        <f t="shared" si="36"/>
        <v>2024</v>
      </c>
      <c r="U306" s="6" t="str">
        <f t="shared" si="37"/>
        <v>Fast</v>
      </c>
      <c r="V306" s="6" t="str">
        <f t="shared" si="38"/>
        <v>Normal</v>
      </c>
      <c r="W306" s="6" t="str">
        <f t="shared" si="39"/>
        <v>No</v>
      </c>
    </row>
    <row r="307" spans="1:23" x14ac:dyDescent="0.3">
      <c r="A307" s="9" t="s">
        <v>633</v>
      </c>
      <c r="B307" s="5">
        <v>45025</v>
      </c>
      <c r="C307" s="4" t="s">
        <v>180</v>
      </c>
      <c r="D307" s="4" t="s">
        <v>181</v>
      </c>
      <c r="E307" s="4" t="s">
        <v>35</v>
      </c>
      <c r="F307" s="4" t="s">
        <v>19</v>
      </c>
      <c r="G307" s="4" t="s">
        <v>69</v>
      </c>
      <c r="H307" s="4" t="s">
        <v>236</v>
      </c>
      <c r="I307" s="4">
        <v>4</v>
      </c>
      <c r="J307" s="4">
        <v>1600</v>
      </c>
      <c r="K307" s="4">
        <v>0</v>
      </c>
      <c r="L307" s="4">
        <v>6400</v>
      </c>
      <c r="M307" s="4" t="s">
        <v>30</v>
      </c>
      <c r="N307" s="4" t="s">
        <v>64</v>
      </c>
      <c r="O307" s="4">
        <v>1</v>
      </c>
      <c r="P307" s="6">
        <f t="shared" si="32"/>
        <v>6400</v>
      </c>
      <c r="Q307" s="6">
        <f t="shared" si="33"/>
        <v>0</v>
      </c>
      <c r="R307" s="6">
        <f t="shared" si="34"/>
        <v>1280</v>
      </c>
      <c r="S307" s="6" t="str">
        <f t="shared" si="35"/>
        <v>Apr</v>
      </c>
      <c r="T307" s="6">
        <f t="shared" si="36"/>
        <v>2023</v>
      </c>
      <c r="U307" s="6" t="str">
        <f t="shared" si="37"/>
        <v>Fast</v>
      </c>
      <c r="V307" s="6" t="str">
        <f t="shared" si="38"/>
        <v>High Value</v>
      </c>
      <c r="W307" s="6" t="str">
        <f t="shared" si="39"/>
        <v>Yes</v>
      </c>
    </row>
    <row r="308" spans="1:23" x14ac:dyDescent="0.3">
      <c r="A308" s="8" t="s">
        <v>634</v>
      </c>
      <c r="B308" s="3">
        <v>45314</v>
      </c>
      <c r="C308" s="2" t="s">
        <v>25</v>
      </c>
      <c r="D308" s="2" t="s">
        <v>26</v>
      </c>
      <c r="E308" s="2" t="s">
        <v>27</v>
      </c>
      <c r="F308" s="2" t="s">
        <v>19</v>
      </c>
      <c r="G308" s="2" t="s">
        <v>69</v>
      </c>
      <c r="H308" s="2" t="s">
        <v>635</v>
      </c>
      <c r="I308" s="2">
        <v>4</v>
      </c>
      <c r="J308" s="2">
        <v>1200</v>
      </c>
      <c r="K308" s="2">
        <v>0</v>
      </c>
      <c r="L308" s="2">
        <v>4800</v>
      </c>
      <c r="M308" s="2" t="s">
        <v>143</v>
      </c>
      <c r="N308" s="2" t="s">
        <v>37</v>
      </c>
      <c r="O308" s="2">
        <v>8</v>
      </c>
      <c r="P308" s="6">
        <f t="shared" si="32"/>
        <v>4800</v>
      </c>
      <c r="Q308" s="6">
        <f t="shared" si="33"/>
        <v>0</v>
      </c>
      <c r="R308" s="6">
        <f t="shared" si="34"/>
        <v>960</v>
      </c>
      <c r="S308" s="6" t="str">
        <f t="shared" si="35"/>
        <v>Jan</v>
      </c>
      <c r="T308" s="6">
        <f t="shared" si="36"/>
        <v>2024</v>
      </c>
      <c r="U308" s="6" t="str">
        <f t="shared" si="37"/>
        <v>Delayed</v>
      </c>
      <c r="V308" s="6" t="str">
        <f t="shared" si="38"/>
        <v>Normal</v>
      </c>
      <c r="W308" s="6" t="str">
        <f t="shared" si="39"/>
        <v>No</v>
      </c>
    </row>
    <row r="309" spans="1:23" x14ac:dyDescent="0.3">
      <c r="A309" s="9" t="s">
        <v>636</v>
      </c>
      <c r="B309" s="5">
        <v>45253</v>
      </c>
      <c r="C309" s="4" t="s">
        <v>187</v>
      </c>
      <c r="D309" s="4" t="s">
        <v>188</v>
      </c>
      <c r="E309" s="4" t="s">
        <v>90</v>
      </c>
      <c r="F309" s="4" t="s">
        <v>19</v>
      </c>
      <c r="G309" s="4" t="s">
        <v>28</v>
      </c>
      <c r="H309" s="4" t="s">
        <v>392</v>
      </c>
      <c r="I309" s="4">
        <v>4</v>
      </c>
      <c r="J309" s="4">
        <v>650</v>
      </c>
      <c r="K309" s="4">
        <v>5</v>
      </c>
      <c r="L309" s="4">
        <v>2470</v>
      </c>
      <c r="M309" s="4" t="s">
        <v>43</v>
      </c>
      <c r="N309" s="4" t="s">
        <v>37</v>
      </c>
      <c r="O309" s="4">
        <v>2</v>
      </c>
      <c r="P309" s="6">
        <f t="shared" si="32"/>
        <v>2600</v>
      </c>
      <c r="Q309" s="6">
        <f t="shared" si="33"/>
        <v>130</v>
      </c>
      <c r="R309" s="6">
        <f t="shared" si="34"/>
        <v>494</v>
      </c>
      <c r="S309" s="6" t="str">
        <f t="shared" si="35"/>
        <v>Nov</v>
      </c>
      <c r="T309" s="6">
        <f t="shared" si="36"/>
        <v>2023</v>
      </c>
      <c r="U309" s="6" t="str">
        <f t="shared" si="37"/>
        <v>Fast</v>
      </c>
      <c r="V309" s="6" t="str">
        <f t="shared" si="38"/>
        <v>Normal</v>
      </c>
      <c r="W309" s="6" t="str">
        <f t="shared" si="39"/>
        <v>No</v>
      </c>
    </row>
    <row r="310" spans="1:23" x14ac:dyDescent="0.3">
      <c r="A310" s="8" t="s">
        <v>637</v>
      </c>
      <c r="B310" s="3">
        <v>44984</v>
      </c>
      <c r="C310" s="2" t="s">
        <v>157</v>
      </c>
      <c r="D310" s="2" t="s">
        <v>158</v>
      </c>
      <c r="E310" s="2" t="s">
        <v>159</v>
      </c>
      <c r="F310" s="2" t="s">
        <v>19</v>
      </c>
      <c r="G310" s="2" t="s">
        <v>69</v>
      </c>
      <c r="H310" s="2" t="s">
        <v>236</v>
      </c>
      <c r="I310" s="2">
        <v>3</v>
      </c>
      <c r="J310" s="2">
        <v>1600</v>
      </c>
      <c r="K310" s="2">
        <v>5</v>
      </c>
      <c r="L310" s="2">
        <v>4560</v>
      </c>
      <c r="M310" s="2" t="s">
        <v>43</v>
      </c>
      <c r="N310" s="2" t="s">
        <v>37</v>
      </c>
      <c r="O310" s="2">
        <v>6</v>
      </c>
      <c r="P310" s="6">
        <f t="shared" si="32"/>
        <v>4800</v>
      </c>
      <c r="Q310" s="6">
        <f t="shared" si="33"/>
        <v>240</v>
      </c>
      <c r="R310" s="6">
        <f t="shared" si="34"/>
        <v>912</v>
      </c>
      <c r="S310" s="6" t="str">
        <f t="shared" si="35"/>
        <v>Feb</v>
      </c>
      <c r="T310" s="6">
        <f t="shared" si="36"/>
        <v>2023</v>
      </c>
      <c r="U310" s="6" t="str">
        <f t="shared" si="37"/>
        <v>Delayed</v>
      </c>
      <c r="V310" s="6" t="str">
        <f t="shared" si="38"/>
        <v>Normal</v>
      </c>
      <c r="W310" s="6" t="str">
        <f t="shared" si="39"/>
        <v>No</v>
      </c>
    </row>
    <row r="311" spans="1:23" x14ac:dyDescent="0.3">
      <c r="A311" s="9" t="s">
        <v>638</v>
      </c>
      <c r="B311" s="5">
        <v>45194</v>
      </c>
      <c r="C311" s="4" t="s">
        <v>77</v>
      </c>
      <c r="D311" s="4" t="s">
        <v>78</v>
      </c>
      <c r="E311" s="4" t="s">
        <v>79</v>
      </c>
      <c r="F311" s="4" t="s">
        <v>79</v>
      </c>
      <c r="G311" s="4" t="s">
        <v>91</v>
      </c>
      <c r="H311" s="4" t="s">
        <v>291</v>
      </c>
      <c r="I311" s="4">
        <v>1</v>
      </c>
      <c r="J311" s="4">
        <v>45000</v>
      </c>
      <c r="K311" s="4">
        <v>5</v>
      </c>
      <c r="L311" s="4">
        <v>42750</v>
      </c>
      <c r="M311" s="4" t="s">
        <v>43</v>
      </c>
      <c r="N311" s="4" t="s">
        <v>64</v>
      </c>
      <c r="O311" s="4">
        <v>1</v>
      </c>
      <c r="P311" s="6">
        <f t="shared" si="32"/>
        <v>45000</v>
      </c>
      <c r="Q311" s="6">
        <f t="shared" si="33"/>
        <v>2250</v>
      </c>
      <c r="R311" s="6">
        <f t="shared" si="34"/>
        <v>8550</v>
      </c>
      <c r="S311" s="6" t="str">
        <f t="shared" si="35"/>
        <v>Sep</v>
      </c>
      <c r="T311" s="6">
        <f t="shared" si="36"/>
        <v>2023</v>
      </c>
      <c r="U311" s="6" t="str">
        <f t="shared" si="37"/>
        <v>Fast</v>
      </c>
      <c r="V311" s="6" t="str">
        <f t="shared" si="38"/>
        <v>High Value</v>
      </c>
      <c r="W311" s="6" t="str">
        <f t="shared" si="39"/>
        <v>No</v>
      </c>
    </row>
    <row r="312" spans="1:23" x14ac:dyDescent="0.3">
      <c r="A312" s="8" t="s">
        <v>639</v>
      </c>
      <c r="B312" s="3">
        <v>45442</v>
      </c>
      <c r="C312" s="2" t="s">
        <v>238</v>
      </c>
      <c r="D312" s="2" t="s">
        <v>239</v>
      </c>
      <c r="E312" s="2" t="s">
        <v>68</v>
      </c>
      <c r="F312" s="2" t="s">
        <v>19</v>
      </c>
      <c r="G312" s="2" t="s">
        <v>28</v>
      </c>
      <c r="H312" s="2" t="s">
        <v>300</v>
      </c>
      <c r="I312" s="2">
        <v>3</v>
      </c>
      <c r="J312" s="2">
        <v>320</v>
      </c>
      <c r="K312" s="2">
        <v>0</v>
      </c>
      <c r="L312" s="2">
        <v>960</v>
      </c>
      <c r="M312" s="2" t="s">
        <v>43</v>
      </c>
      <c r="N312" s="2" t="s">
        <v>37</v>
      </c>
      <c r="O312" s="2">
        <v>6</v>
      </c>
      <c r="P312" s="6">
        <f t="shared" si="32"/>
        <v>960</v>
      </c>
      <c r="Q312" s="6">
        <f t="shared" si="33"/>
        <v>0</v>
      </c>
      <c r="R312" s="6">
        <f t="shared" si="34"/>
        <v>192</v>
      </c>
      <c r="S312" s="6" t="str">
        <f t="shared" si="35"/>
        <v>May</v>
      </c>
      <c r="T312" s="6">
        <f t="shared" si="36"/>
        <v>2024</v>
      </c>
      <c r="U312" s="6" t="str">
        <f t="shared" si="37"/>
        <v>Delayed</v>
      </c>
      <c r="V312" s="6" t="str">
        <f t="shared" si="38"/>
        <v>Normal</v>
      </c>
      <c r="W312" s="6" t="str">
        <f t="shared" si="39"/>
        <v>No</v>
      </c>
    </row>
    <row r="313" spans="1:23" x14ac:dyDescent="0.3">
      <c r="A313" s="9" t="s">
        <v>640</v>
      </c>
      <c r="B313" s="5">
        <v>45032</v>
      </c>
      <c r="C313" s="4" t="s">
        <v>441</v>
      </c>
      <c r="D313" s="4" t="s">
        <v>442</v>
      </c>
      <c r="E313" s="4" t="s">
        <v>41</v>
      </c>
      <c r="F313" s="4" t="s">
        <v>19</v>
      </c>
      <c r="G313" s="4" t="s">
        <v>149</v>
      </c>
      <c r="H313" s="4" t="s">
        <v>281</v>
      </c>
      <c r="I313" s="4">
        <v>2</v>
      </c>
      <c r="J313" s="4">
        <v>120</v>
      </c>
      <c r="K313" s="4">
        <v>0</v>
      </c>
      <c r="L313" s="4">
        <v>240</v>
      </c>
      <c r="M313" s="4" t="s">
        <v>143</v>
      </c>
      <c r="N313" s="4" t="s">
        <v>37</v>
      </c>
      <c r="O313" s="4">
        <v>5</v>
      </c>
      <c r="P313" s="6">
        <f t="shared" si="32"/>
        <v>240</v>
      </c>
      <c r="Q313" s="6">
        <f t="shared" si="33"/>
        <v>0</v>
      </c>
      <c r="R313" s="6">
        <f t="shared" si="34"/>
        <v>48</v>
      </c>
      <c r="S313" s="6" t="str">
        <f t="shared" si="35"/>
        <v>Apr</v>
      </c>
      <c r="T313" s="6">
        <f t="shared" si="36"/>
        <v>2023</v>
      </c>
      <c r="U313" s="6" t="str">
        <f t="shared" si="37"/>
        <v>Delayed</v>
      </c>
      <c r="V313" s="6" t="str">
        <f t="shared" si="38"/>
        <v>Normal</v>
      </c>
      <c r="W313" s="6" t="str">
        <f t="shared" si="39"/>
        <v>Yes</v>
      </c>
    </row>
    <row r="314" spans="1:23" x14ac:dyDescent="0.3">
      <c r="A314" s="8" t="s">
        <v>641</v>
      </c>
      <c r="B314" s="3">
        <v>45206</v>
      </c>
      <c r="C314" s="2" t="s">
        <v>61</v>
      </c>
      <c r="D314" s="2" t="s">
        <v>62</v>
      </c>
      <c r="E314" s="2" t="s">
        <v>35</v>
      </c>
      <c r="F314" s="2" t="s">
        <v>19</v>
      </c>
      <c r="G314" s="2" t="s">
        <v>91</v>
      </c>
      <c r="H314" s="2" t="s">
        <v>163</v>
      </c>
      <c r="I314" s="2">
        <v>4</v>
      </c>
      <c r="J314" s="2">
        <v>900</v>
      </c>
      <c r="K314" s="2">
        <v>5</v>
      </c>
      <c r="L314" s="2">
        <v>3420</v>
      </c>
      <c r="M314" s="2" t="s">
        <v>43</v>
      </c>
      <c r="N314" s="2" t="s">
        <v>37</v>
      </c>
      <c r="O314" s="2">
        <v>4</v>
      </c>
      <c r="P314" s="6">
        <f t="shared" si="32"/>
        <v>3600</v>
      </c>
      <c r="Q314" s="6">
        <f t="shared" si="33"/>
        <v>180</v>
      </c>
      <c r="R314" s="6">
        <f t="shared" si="34"/>
        <v>684</v>
      </c>
      <c r="S314" s="6" t="str">
        <f t="shared" si="35"/>
        <v>Oct</v>
      </c>
      <c r="T314" s="6">
        <f t="shared" si="36"/>
        <v>2023</v>
      </c>
      <c r="U314" s="6" t="str">
        <f t="shared" si="37"/>
        <v>Delayed</v>
      </c>
      <c r="V314" s="6" t="str">
        <f t="shared" si="38"/>
        <v>Normal</v>
      </c>
      <c r="W314" s="6" t="str">
        <f t="shared" si="39"/>
        <v>Yes</v>
      </c>
    </row>
    <row r="315" spans="1:23" x14ac:dyDescent="0.3">
      <c r="A315" s="9" t="s">
        <v>642</v>
      </c>
      <c r="B315" s="5">
        <v>45253</v>
      </c>
      <c r="C315" s="4" t="s">
        <v>373</v>
      </c>
      <c r="D315" s="4" t="s">
        <v>374</v>
      </c>
      <c r="E315" s="4" t="s">
        <v>171</v>
      </c>
      <c r="F315" s="4" t="s">
        <v>19</v>
      </c>
      <c r="G315" s="4" t="s">
        <v>20</v>
      </c>
      <c r="H315" s="4" t="s">
        <v>63</v>
      </c>
      <c r="I315" s="4">
        <v>2</v>
      </c>
      <c r="J315" s="4">
        <v>2800</v>
      </c>
      <c r="K315" s="4">
        <v>0</v>
      </c>
      <c r="L315" s="4">
        <v>5600</v>
      </c>
      <c r="M315" s="4" t="s">
        <v>143</v>
      </c>
      <c r="N315" s="4" t="s">
        <v>37</v>
      </c>
      <c r="O315" s="4">
        <v>8</v>
      </c>
      <c r="P315" s="6">
        <f t="shared" si="32"/>
        <v>5600</v>
      </c>
      <c r="Q315" s="6">
        <f t="shared" si="33"/>
        <v>0</v>
      </c>
      <c r="R315" s="6">
        <f t="shared" si="34"/>
        <v>1120</v>
      </c>
      <c r="S315" s="6" t="str">
        <f t="shared" si="35"/>
        <v>Nov</v>
      </c>
      <c r="T315" s="6">
        <f t="shared" si="36"/>
        <v>2023</v>
      </c>
      <c r="U315" s="6" t="str">
        <f t="shared" si="37"/>
        <v>Delayed</v>
      </c>
      <c r="V315" s="6" t="str">
        <f t="shared" si="38"/>
        <v>High Value</v>
      </c>
      <c r="W315" s="6" t="str">
        <f t="shared" si="39"/>
        <v>No</v>
      </c>
    </row>
    <row r="316" spans="1:23" x14ac:dyDescent="0.3">
      <c r="A316" s="8" t="s">
        <v>643</v>
      </c>
      <c r="B316" s="3">
        <v>45076</v>
      </c>
      <c r="C316" s="2" t="s">
        <v>394</v>
      </c>
      <c r="D316" s="2" t="s">
        <v>395</v>
      </c>
      <c r="E316" s="2" t="s">
        <v>83</v>
      </c>
      <c r="F316" s="2" t="s">
        <v>19</v>
      </c>
      <c r="G316" s="2" t="s">
        <v>69</v>
      </c>
      <c r="H316" s="2" t="s">
        <v>274</v>
      </c>
      <c r="I316" s="2">
        <v>4</v>
      </c>
      <c r="J316" s="2">
        <v>1100</v>
      </c>
      <c r="K316" s="2">
        <v>0</v>
      </c>
      <c r="L316" s="2">
        <v>4400</v>
      </c>
      <c r="M316" s="2" t="s">
        <v>43</v>
      </c>
      <c r="N316" s="2" t="s">
        <v>23</v>
      </c>
      <c r="O316" s="2">
        <v>0</v>
      </c>
      <c r="P316" s="6">
        <f t="shared" si="32"/>
        <v>4400</v>
      </c>
      <c r="Q316" s="6">
        <f t="shared" si="33"/>
        <v>0</v>
      </c>
      <c r="R316" s="6">
        <f t="shared" si="34"/>
        <v>880</v>
      </c>
      <c r="S316" s="6" t="str">
        <f t="shared" si="35"/>
        <v>May</v>
      </c>
      <c r="T316" s="6">
        <f t="shared" si="36"/>
        <v>2023</v>
      </c>
      <c r="U316" s="6" t="str">
        <f t="shared" si="37"/>
        <v>Fast</v>
      </c>
      <c r="V316" s="6" t="str">
        <f t="shared" si="38"/>
        <v>Normal</v>
      </c>
      <c r="W316" s="6" t="str">
        <f t="shared" si="39"/>
        <v>No</v>
      </c>
    </row>
    <row r="317" spans="1:23" x14ac:dyDescent="0.3">
      <c r="A317" s="9" t="s">
        <v>644</v>
      </c>
      <c r="B317" s="5">
        <v>45439</v>
      </c>
      <c r="C317" s="4" t="s">
        <v>196</v>
      </c>
      <c r="D317" s="4" t="s">
        <v>197</v>
      </c>
      <c r="E317" s="4" t="s">
        <v>176</v>
      </c>
      <c r="F317" s="4" t="s">
        <v>177</v>
      </c>
      <c r="G317" s="4" t="s">
        <v>149</v>
      </c>
      <c r="H317" s="4" t="s">
        <v>226</v>
      </c>
      <c r="I317" s="4">
        <v>3</v>
      </c>
      <c r="J317" s="4">
        <v>350</v>
      </c>
      <c r="K317" s="4">
        <v>0</v>
      </c>
      <c r="L317" s="4">
        <v>1050</v>
      </c>
      <c r="M317" s="4" t="s">
        <v>143</v>
      </c>
      <c r="N317" s="4" t="s">
        <v>37</v>
      </c>
      <c r="O317" s="4">
        <v>6</v>
      </c>
      <c r="P317" s="6">
        <f t="shared" si="32"/>
        <v>1050</v>
      </c>
      <c r="Q317" s="6">
        <f t="shared" si="33"/>
        <v>0</v>
      </c>
      <c r="R317" s="6">
        <f t="shared" si="34"/>
        <v>210</v>
      </c>
      <c r="S317" s="6" t="str">
        <f t="shared" si="35"/>
        <v>May</v>
      </c>
      <c r="T317" s="6">
        <f t="shared" si="36"/>
        <v>2024</v>
      </c>
      <c r="U317" s="6" t="str">
        <f t="shared" si="37"/>
        <v>Delayed</v>
      </c>
      <c r="V317" s="6" t="str">
        <f t="shared" si="38"/>
        <v>Normal</v>
      </c>
      <c r="W317" s="6" t="str">
        <f t="shared" si="39"/>
        <v>No</v>
      </c>
    </row>
    <row r="318" spans="1:23" x14ac:dyDescent="0.3">
      <c r="A318" s="8" t="s">
        <v>645</v>
      </c>
      <c r="B318" s="3">
        <v>45280</v>
      </c>
      <c r="C318" s="2" t="s">
        <v>234</v>
      </c>
      <c r="D318" s="2" t="s">
        <v>235</v>
      </c>
      <c r="E318" s="2" t="s">
        <v>52</v>
      </c>
      <c r="F318" s="2" t="s">
        <v>53</v>
      </c>
      <c r="G318" s="2" t="s">
        <v>126</v>
      </c>
      <c r="H318" s="2" t="s">
        <v>189</v>
      </c>
      <c r="I318" s="2">
        <v>4</v>
      </c>
      <c r="J318" s="2">
        <v>4500</v>
      </c>
      <c r="K318" s="2">
        <v>20</v>
      </c>
      <c r="L318" s="2">
        <v>14400</v>
      </c>
      <c r="M318" s="2" t="s">
        <v>107</v>
      </c>
      <c r="N318" s="2" t="s">
        <v>37</v>
      </c>
      <c r="O318" s="2">
        <v>3</v>
      </c>
      <c r="P318" s="6">
        <f t="shared" si="32"/>
        <v>18000</v>
      </c>
      <c r="Q318" s="6">
        <f t="shared" si="33"/>
        <v>3600</v>
      </c>
      <c r="R318" s="6">
        <f t="shared" si="34"/>
        <v>2880</v>
      </c>
      <c r="S318" s="6" t="str">
        <f t="shared" si="35"/>
        <v>Dec</v>
      </c>
      <c r="T318" s="6">
        <f t="shared" si="36"/>
        <v>2023</v>
      </c>
      <c r="U318" s="6" t="str">
        <f t="shared" si="37"/>
        <v>Fast</v>
      </c>
      <c r="V318" s="6" t="str">
        <f t="shared" si="38"/>
        <v>High Value</v>
      </c>
      <c r="W318" s="6" t="str">
        <f t="shared" si="39"/>
        <v>No</v>
      </c>
    </row>
    <row r="319" spans="1:23" x14ac:dyDescent="0.3">
      <c r="A319" s="9" t="s">
        <v>646</v>
      </c>
      <c r="B319" s="5">
        <v>45129</v>
      </c>
      <c r="C319" s="4" t="s">
        <v>199</v>
      </c>
      <c r="D319" s="4" t="s">
        <v>200</v>
      </c>
      <c r="E319" s="4" t="s">
        <v>90</v>
      </c>
      <c r="F319" s="4" t="s">
        <v>19</v>
      </c>
      <c r="G319" s="4" t="s">
        <v>47</v>
      </c>
      <c r="H319" s="4" t="s">
        <v>217</v>
      </c>
      <c r="I319" s="4">
        <v>1</v>
      </c>
      <c r="J319" s="4">
        <v>1200</v>
      </c>
      <c r="K319" s="4">
        <v>20</v>
      </c>
      <c r="L319" s="4">
        <v>960</v>
      </c>
      <c r="M319" s="4" t="s">
        <v>22</v>
      </c>
      <c r="N319" s="4" t="s">
        <v>37</v>
      </c>
      <c r="O319" s="4">
        <v>9</v>
      </c>
      <c r="P319" s="6">
        <f t="shared" si="32"/>
        <v>1200</v>
      </c>
      <c r="Q319" s="6">
        <f t="shared" si="33"/>
        <v>240</v>
      </c>
      <c r="R319" s="6">
        <f t="shared" si="34"/>
        <v>192</v>
      </c>
      <c r="S319" s="6" t="str">
        <f t="shared" si="35"/>
        <v>Jul</v>
      </c>
      <c r="T319" s="6">
        <f t="shared" si="36"/>
        <v>2023</v>
      </c>
      <c r="U319" s="6" t="str">
        <f t="shared" si="37"/>
        <v>Delayed</v>
      </c>
      <c r="V319" s="6" t="str">
        <f t="shared" si="38"/>
        <v>Normal</v>
      </c>
      <c r="W319" s="6" t="str">
        <f t="shared" si="39"/>
        <v>Yes</v>
      </c>
    </row>
    <row r="320" spans="1:23" x14ac:dyDescent="0.3">
      <c r="A320" s="8" t="s">
        <v>647</v>
      </c>
      <c r="B320" s="3">
        <v>45375</v>
      </c>
      <c r="C320" s="2" t="s">
        <v>16</v>
      </c>
      <c r="D320" s="2" t="s">
        <v>17</v>
      </c>
      <c r="E320" s="2" t="s">
        <v>18</v>
      </c>
      <c r="F320" s="2" t="s">
        <v>19</v>
      </c>
      <c r="G320" s="2" t="s">
        <v>47</v>
      </c>
      <c r="H320" s="2" t="s">
        <v>285</v>
      </c>
      <c r="I320" s="2">
        <v>2</v>
      </c>
      <c r="J320" s="2">
        <v>1800</v>
      </c>
      <c r="K320" s="2">
        <v>5</v>
      </c>
      <c r="L320" s="2">
        <v>3420</v>
      </c>
      <c r="M320" s="2" t="s">
        <v>107</v>
      </c>
      <c r="N320" s="2" t="s">
        <v>64</v>
      </c>
      <c r="O320" s="2">
        <v>4</v>
      </c>
      <c r="P320" s="6">
        <f t="shared" si="32"/>
        <v>3600</v>
      </c>
      <c r="Q320" s="6">
        <f t="shared" si="33"/>
        <v>180</v>
      </c>
      <c r="R320" s="6">
        <f t="shared" si="34"/>
        <v>684</v>
      </c>
      <c r="S320" s="6" t="str">
        <f t="shared" si="35"/>
        <v>Mar</v>
      </c>
      <c r="T320" s="6">
        <f t="shared" si="36"/>
        <v>2024</v>
      </c>
      <c r="U320" s="6" t="str">
        <f t="shared" si="37"/>
        <v>Delayed</v>
      </c>
      <c r="V320" s="6" t="str">
        <f t="shared" si="38"/>
        <v>Normal</v>
      </c>
      <c r="W320" s="6" t="str">
        <f t="shared" si="39"/>
        <v>Yes</v>
      </c>
    </row>
    <row r="321" spans="1:23" x14ac:dyDescent="0.3">
      <c r="A321" s="9" t="s">
        <v>648</v>
      </c>
      <c r="B321" s="5">
        <v>45462</v>
      </c>
      <c r="C321" s="4" t="s">
        <v>272</v>
      </c>
      <c r="D321" s="4" t="s">
        <v>273</v>
      </c>
      <c r="E321" s="4" t="s">
        <v>27</v>
      </c>
      <c r="F321" s="4" t="s">
        <v>19</v>
      </c>
      <c r="G321" s="4" t="s">
        <v>126</v>
      </c>
      <c r="H321" s="4" t="s">
        <v>189</v>
      </c>
      <c r="I321" s="4">
        <v>2</v>
      </c>
      <c r="J321" s="4">
        <v>4500</v>
      </c>
      <c r="K321" s="4">
        <v>15</v>
      </c>
      <c r="L321" s="4">
        <v>7650</v>
      </c>
      <c r="M321" s="4" t="s">
        <v>107</v>
      </c>
      <c r="N321" s="4" t="s">
        <v>37</v>
      </c>
      <c r="O321" s="4">
        <v>8</v>
      </c>
      <c r="P321" s="6">
        <f t="shared" si="32"/>
        <v>9000</v>
      </c>
      <c r="Q321" s="6">
        <f t="shared" si="33"/>
        <v>1350</v>
      </c>
      <c r="R321" s="6">
        <f t="shared" si="34"/>
        <v>1530</v>
      </c>
      <c r="S321" s="6" t="str">
        <f t="shared" si="35"/>
        <v>Jun</v>
      </c>
      <c r="T321" s="6">
        <f t="shared" si="36"/>
        <v>2024</v>
      </c>
      <c r="U321" s="6" t="str">
        <f t="shared" si="37"/>
        <v>Delayed</v>
      </c>
      <c r="V321" s="6" t="str">
        <f t="shared" si="38"/>
        <v>High Value</v>
      </c>
      <c r="W321" s="6" t="str">
        <f t="shared" si="39"/>
        <v>No</v>
      </c>
    </row>
    <row r="322" spans="1:23" x14ac:dyDescent="0.3">
      <c r="A322" s="8" t="s">
        <v>649</v>
      </c>
      <c r="B322" s="3">
        <v>45208</v>
      </c>
      <c r="C322" s="2" t="s">
        <v>157</v>
      </c>
      <c r="D322" s="2" t="s">
        <v>158</v>
      </c>
      <c r="E322" s="2" t="s">
        <v>159</v>
      </c>
      <c r="F322" s="2" t="s">
        <v>19</v>
      </c>
      <c r="G322" s="2" t="s">
        <v>69</v>
      </c>
      <c r="H322" s="2" t="s">
        <v>274</v>
      </c>
      <c r="I322" s="2">
        <v>2</v>
      </c>
      <c r="J322" s="2">
        <v>1100</v>
      </c>
      <c r="K322" s="2">
        <v>15</v>
      </c>
      <c r="L322" s="2">
        <v>1870</v>
      </c>
      <c r="M322" s="2" t="s">
        <v>22</v>
      </c>
      <c r="N322" s="2" t="s">
        <v>37</v>
      </c>
      <c r="O322" s="2">
        <v>9</v>
      </c>
      <c r="P322" s="6">
        <f t="shared" si="32"/>
        <v>2200</v>
      </c>
      <c r="Q322" s="6">
        <f t="shared" si="33"/>
        <v>330</v>
      </c>
      <c r="R322" s="6">
        <f t="shared" si="34"/>
        <v>374</v>
      </c>
      <c r="S322" s="6" t="str">
        <f t="shared" si="35"/>
        <v>Oct</v>
      </c>
      <c r="T322" s="6">
        <f t="shared" si="36"/>
        <v>2023</v>
      </c>
      <c r="U322" s="6" t="str">
        <f t="shared" si="37"/>
        <v>Delayed</v>
      </c>
      <c r="V322" s="6" t="str">
        <f t="shared" si="38"/>
        <v>Normal</v>
      </c>
      <c r="W322" s="6" t="str">
        <f t="shared" si="39"/>
        <v>No</v>
      </c>
    </row>
    <row r="323" spans="1:23" x14ac:dyDescent="0.3">
      <c r="A323" s="9" t="s">
        <v>650</v>
      </c>
      <c r="B323" s="5">
        <v>45175</v>
      </c>
      <c r="C323" s="4" t="s">
        <v>325</v>
      </c>
      <c r="D323" s="4" t="s">
        <v>326</v>
      </c>
      <c r="E323" s="4" t="s">
        <v>270</v>
      </c>
      <c r="F323" s="4" t="s">
        <v>19</v>
      </c>
      <c r="G323" s="4" t="s">
        <v>69</v>
      </c>
      <c r="H323" s="4" t="s">
        <v>482</v>
      </c>
      <c r="I323" s="4">
        <v>1</v>
      </c>
      <c r="J323" s="4">
        <v>2800</v>
      </c>
      <c r="K323" s="4">
        <v>10</v>
      </c>
      <c r="L323" s="4">
        <v>2520</v>
      </c>
      <c r="M323" s="4" t="s">
        <v>43</v>
      </c>
      <c r="N323" s="4" t="s">
        <v>37</v>
      </c>
      <c r="O323" s="4">
        <v>4</v>
      </c>
      <c r="P323" s="6">
        <f t="shared" ref="P323:P386" si="40">I323*J323</f>
        <v>2800</v>
      </c>
      <c r="Q323" s="6">
        <f t="shared" ref="Q323:Q386" si="41">P323*(K323/100)</f>
        <v>280</v>
      </c>
      <c r="R323" s="6">
        <f t="shared" ref="R323:R386" si="42">L323*0.2</f>
        <v>504</v>
      </c>
      <c r="S323" s="6" t="str">
        <f t="shared" ref="S323:S386" si="43">TEXT(B323,"MMM")</f>
        <v>Sep</v>
      </c>
      <c r="T323" s="6">
        <f t="shared" ref="T323:T386" si="44">YEAR(B323)</f>
        <v>2023</v>
      </c>
      <c r="U323" s="6" t="str">
        <f t="shared" ref="U323:U386" si="45">IF(O323&lt;=3,"Fast","Delayed")</f>
        <v>Delayed</v>
      </c>
      <c r="V323" s="6" t="str">
        <f t="shared" ref="V323:V386" si="46">IF(L323&gt;5000,"High Value","Normal")</f>
        <v>Normal</v>
      </c>
      <c r="W323" s="6" t="str">
        <f t="shared" ref="W323:W386" si="47">IF(WEEKDAY(B323,2)&gt;5,"Yes","No")</f>
        <v>No</v>
      </c>
    </row>
    <row r="324" spans="1:23" x14ac:dyDescent="0.3">
      <c r="A324" s="8" t="s">
        <v>651</v>
      </c>
      <c r="B324" s="3">
        <v>45237</v>
      </c>
      <c r="C324" s="2" t="s">
        <v>578</v>
      </c>
      <c r="D324" s="2" t="s">
        <v>579</v>
      </c>
      <c r="E324" s="2" t="s">
        <v>41</v>
      </c>
      <c r="F324" s="2" t="s">
        <v>19</v>
      </c>
      <c r="G324" s="2" t="s">
        <v>126</v>
      </c>
      <c r="H324" s="2" t="s">
        <v>337</v>
      </c>
      <c r="I324" s="2">
        <v>4</v>
      </c>
      <c r="J324" s="2">
        <v>2200</v>
      </c>
      <c r="K324" s="2">
        <v>0</v>
      </c>
      <c r="L324" s="2">
        <v>8800</v>
      </c>
      <c r="M324" s="2" t="s">
        <v>143</v>
      </c>
      <c r="N324" s="2" t="s">
        <v>37</v>
      </c>
      <c r="O324" s="2">
        <v>7</v>
      </c>
      <c r="P324" s="6">
        <f t="shared" si="40"/>
        <v>8800</v>
      </c>
      <c r="Q324" s="6">
        <f t="shared" si="41"/>
        <v>0</v>
      </c>
      <c r="R324" s="6">
        <f t="shared" si="42"/>
        <v>1760</v>
      </c>
      <c r="S324" s="6" t="str">
        <f t="shared" si="43"/>
        <v>Nov</v>
      </c>
      <c r="T324" s="6">
        <f t="shared" si="44"/>
        <v>2023</v>
      </c>
      <c r="U324" s="6" t="str">
        <f t="shared" si="45"/>
        <v>Delayed</v>
      </c>
      <c r="V324" s="6" t="str">
        <f t="shared" si="46"/>
        <v>High Value</v>
      </c>
      <c r="W324" s="6" t="str">
        <f t="shared" si="47"/>
        <v>No</v>
      </c>
    </row>
    <row r="325" spans="1:23" x14ac:dyDescent="0.3">
      <c r="A325" s="9" t="s">
        <v>652</v>
      </c>
      <c r="B325" s="5">
        <v>45218</v>
      </c>
      <c r="C325" s="4" t="s">
        <v>45</v>
      </c>
      <c r="D325" s="4" t="s">
        <v>46</v>
      </c>
      <c r="E325" s="4" t="s">
        <v>27</v>
      </c>
      <c r="F325" s="4" t="s">
        <v>19</v>
      </c>
      <c r="G325" s="4" t="s">
        <v>69</v>
      </c>
      <c r="H325" s="4" t="s">
        <v>236</v>
      </c>
      <c r="I325" s="4">
        <v>4</v>
      </c>
      <c r="J325" s="4">
        <v>1600</v>
      </c>
      <c r="K325" s="4">
        <v>15</v>
      </c>
      <c r="L325" s="4">
        <v>5440</v>
      </c>
      <c r="M325" s="4" t="s">
        <v>143</v>
      </c>
      <c r="N325" s="4" t="s">
        <v>37</v>
      </c>
      <c r="O325" s="4">
        <v>4</v>
      </c>
      <c r="P325" s="6">
        <f t="shared" si="40"/>
        <v>6400</v>
      </c>
      <c r="Q325" s="6">
        <f t="shared" si="41"/>
        <v>960</v>
      </c>
      <c r="R325" s="6">
        <f t="shared" si="42"/>
        <v>1088</v>
      </c>
      <c r="S325" s="6" t="str">
        <f t="shared" si="43"/>
        <v>Oct</v>
      </c>
      <c r="T325" s="6">
        <f t="shared" si="44"/>
        <v>2023</v>
      </c>
      <c r="U325" s="6" t="str">
        <f t="shared" si="45"/>
        <v>Delayed</v>
      </c>
      <c r="V325" s="6" t="str">
        <f t="shared" si="46"/>
        <v>High Value</v>
      </c>
      <c r="W325" s="6" t="str">
        <f t="shared" si="47"/>
        <v>No</v>
      </c>
    </row>
    <row r="326" spans="1:23" x14ac:dyDescent="0.3">
      <c r="A326" s="8" t="s">
        <v>653</v>
      </c>
      <c r="B326" s="3">
        <v>45224</v>
      </c>
      <c r="C326" s="2" t="s">
        <v>523</v>
      </c>
      <c r="D326" s="2" t="s">
        <v>524</v>
      </c>
      <c r="E326" s="2" t="s">
        <v>18</v>
      </c>
      <c r="F326" s="2" t="s">
        <v>19</v>
      </c>
      <c r="G326" s="2" t="s">
        <v>47</v>
      </c>
      <c r="H326" s="2" t="s">
        <v>138</v>
      </c>
      <c r="I326" s="2">
        <v>2</v>
      </c>
      <c r="J326" s="2">
        <v>280</v>
      </c>
      <c r="K326" s="2">
        <v>10</v>
      </c>
      <c r="L326" s="2">
        <v>504</v>
      </c>
      <c r="M326" s="2" t="s">
        <v>143</v>
      </c>
      <c r="N326" s="2" t="s">
        <v>23</v>
      </c>
      <c r="O326" s="2">
        <v>0</v>
      </c>
      <c r="P326" s="6">
        <f t="shared" si="40"/>
        <v>560</v>
      </c>
      <c r="Q326" s="6">
        <f t="shared" si="41"/>
        <v>56</v>
      </c>
      <c r="R326" s="6">
        <f t="shared" si="42"/>
        <v>100.80000000000001</v>
      </c>
      <c r="S326" s="6" t="str">
        <f t="shared" si="43"/>
        <v>Oct</v>
      </c>
      <c r="T326" s="6">
        <f t="shared" si="44"/>
        <v>2023</v>
      </c>
      <c r="U326" s="6" t="str">
        <f t="shared" si="45"/>
        <v>Fast</v>
      </c>
      <c r="V326" s="6" t="str">
        <f t="shared" si="46"/>
        <v>Normal</v>
      </c>
      <c r="W326" s="6" t="str">
        <f t="shared" si="47"/>
        <v>No</v>
      </c>
    </row>
    <row r="327" spans="1:23" x14ac:dyDescent="0.3">
      <c r="A327" s="9" t="s">
        <v>654</v>
      </c>
      <c r="B327" s="5">
        <v>45127</v>
      </c>
      <c r="C327" s="4" t="s">
        <v>569</v>
      </c>
      <c r="D327" s="4" t="s">
        <v>570</v>
      </c>
      <c r="E327" s="4" t="s">
        <v>83</v>
      </c>
      <c r="F327" s="4" t="s">
        <v>19</v>
      </c>
      <c r="G327" s="4" t="s">
        <v>28</v>
      </c>
      <c r="H327" s="4" t="s">
        <v>487</v>
      </c>
      <c r="I327" s="4">
        <v>4</v>
      </c>
      <c r="J327" s="4">
        <v>180</v>
      </c>
      <c r="K327" s="4">
        <v>5</v>
      </c>
      <c r="L327" s="4">
        <v>684</v>
      </c>
      <c r="M327" s="4" t="s">
        <v>22</v>
      </c>
      <c r="N327" s="4" t="s">
        <v>37</v>
      </c>
      <c r="O327" s="4">
        <v>1</v>
      </c>
      <c r="P327" s="6">
        <f t="shared" si="40"/>
        <v>720</v>
      </c>
      <c r="Q327" s="6">
        <f t="shared" si="41"/>
        <v>36</v>
      </c>
      <c r="R327" s="6">
        <f t="shared" si="42"/>
        <v>136.80000000000001</v>
      </c>
      <c r="S327" s="6" t="str">
        <f t="shared" si="43"/>
        <v>Jul</v>
      </c>
      <c r="T327" s="6">
        <f t="shared" si="44"/>
        <v>2023</v>
      </c>
      <c r="U327" s="6" t="str">
        <f t="shared" si="45"/>
        <v>Fast</v>
      </c>
      <c r="V327" s="6" t="str">
        <f t="shared" si="46"/>
        <v>Normal</v>
      </c>
      <c r="W327" s="6" t="str">
        <f t="shared" si="47"/>
        <v>No</v>
      </c>
    </row>
    <row r="328" spans="1:23" x14ac:dyDescent="0.3">
      <c r="A328" s="8" t="s">
        <v>655</v>
      </c>
      <c r="B328" s="3">
        <v>45389</v>
      </c>
      <c r="C328" s="2" t="s">
        <v>302</v>
      </c>
      <c r="D328" s="2" t="s">
        <v>303</v>
      </c>
      <c r="E328" s="2" t="s">
        <v>230</v>
      </c>
      <c r="F328" s="2" t="s">
        <v>19</v>
      </c>
      <c r="G328" s="2" t="s">
        <v>91</v>
      </c>
      <c r="H328" s="2" t="s">
        <v>163</v>
      </c>
      <c r="I328" s="2">
        <v>4</v>
      </c>
      <c r="J328" s="2">
        <v>900</v>
      </c>
      <c r="K328" s="2">
        <v>20</v>
      </c>
      <c r="L328" s="2">
        <v>2880</v>
      </c>
      <c r="M328" s="2" t="s">
        <v>107</v>
      </c>
      <c r="N328" s="2" t="s">
        <v>23</v>
      </c>
      <c r="O328" s="2">
        <v>0</v>
      </c>
      <c r="P328" s="6">
        <f t="shared" si="40"/>
        <v>3600</v>
      </c>
      <c r="Q328" s="6">
        <f t="shared" si="41"/>
        <v>720</v>
      </c>
      <c r="R328" s="6">
        <f t="shared" si="42"/>
        <v>576</v>
      </c>
      <c r="S328" s="6" t="str">
        <f t="shared" si="43"/>
        <v>Apr</v>
      </c>
      <c r="T328" s="6">
        <f t="shared" si="44"/>
        <v>2024</v>
      </c>
      <c r="U328" s="6" t="str">
        <f t="shared" si="45"/>
        <v>Fast</v>
      </c>
      <c r="V328" s="6" t="str">
        <f t="shared" si="46"/>
        <v>Normal</v>
      </c>
      <c r="W328" s="6" t="str">
        <f t="shared" si="47"/>
        <v>Yes</v>
      </c>
    </row>
    <row r="329" spans="1:23" x14ac:dyDescent="0.3">
      <c r="A329" s="9" t="s">
        <v>656</v>
      </c>
      <c r="B329" s="5">
        <v>45238</v>
      </c>
      <c r="C329" s="4" t="s">
        <v>569</v>
      </c>
      <c r="D329" s="4" t="s">
        <v>570</v>
      </c>
      <c r="E329" s="4" t="s">
        <v>83</v>
      </c>
      <c r="F329" s="4" t="s">
        <v>19</v>
      </c>
      <c r="G329" s="4" t="s">
        <v>54</v>
      </c>
      <c r="H329" s="4" t="s">
        <v>467</v>
      </c>
      <c r="I329" s="4">
        <v>2</v>
      </c>
      <c r="J329" s="4">
        <v>220</v>
      </c>
      <c r="K329" s="4">
        <v>15</v>
      </c>
      <c r="L329" s="4">
        <v>374</v>
      </c>
      <c r="M329" s="4" t="s">
        <v>43</v>
      </c>
      <c r="N329" s="4" t="s">
        <v>23</v>
      </c>
      <c r="O329" s="4">
        <v>0</v>
      </c>
      <c r="P329" s="6">
        <f t="shared" si="40"/>
        <v>440</v>
      </c>
      <c r="Q329" s="6">
        <f t="shared" si="41"/>
        <v>66</v>
      </c>
      <c r="R329" s="6">
        <f t="shared" si="42"/>
        <v>74.8</v>
      </c>
      <c r="S329" s="6" t="str">
        <f t="shared" si="43"/>
        <v>Nov</v>
      </c>
      <c r="T329" s="6">
        <f t="shared" si="44"/>
        <v>2023</v>
      </c>
      <c r="U329" s="6" t="str">
        <f t="shared" si="45"/>
        <v>Fast</v>
      </c>
      <c r="V329" s="6" t="str">
        <f t="shared" si="46"/>
        <v>Normal</v>
      </c>
      <c r="W329" s="6" t="str">
        <f t="shared" si="47"/>
        <v>No</v>
      </c>
    </row>
    <row r="330" spans="1:23" x14ac:dyDescent="0.3">
      <c r="A330" s="8" t="s">
        <v>657</v>
      </c>
      <c r="B330" s="3">
        <v>45237</v>
      </c>
      <c r="C330" s="2" t="s">
        <v>207</v>
      </c>
      <c r="D330" s="2" t="s">
        <v>208</v>
      </c>
      <c r="E330" s="2" t="s">
        <v>68</v>
      </c>
      <c r="F330" s="2" t="s">
        <v>19</v>
      </c>
      <c r="G330" s="2" t="s">
        <v>28</v>
      </c>
      <c r="H330" s="2" t="s">
        <v>249</v>
      </c>
      <c r="I330" s="2">
        <v>3</v>
      </c>
      <c r="J330" s="2">
        <v>890</v>
      </c>
      <c r="K330" s="2">
        <v>10</v>
      </c>
      <c r="L330" s="2">
        <v>2403</v>
      </c>
      <c r="M330" s="2" t="s">
        <v>30</v>
      </c>
      <c r="N330" s="2" t="s">
        <v>37</v>
      </c>
      <c r="O330" s="2">
        <v>3</v>
      </c>
      <c r="P330" s="6">
        <f t="shared" si="40"/>
        <v>2670</v>
      </c>
      <c r="Q330" s="6">
        <f t="shared" si="41"/>
        <v>267</v>
      </c>
      <c r="R330" s="6">
        <f t="shared" si="42"/>
        <v>480.6</v>
      </c>
      <c r="S330" s="6" t="str">
        <f t="shared" si="43"/>
        <v>Nov</v>
      </c>
      <c r="T330" s="6">
        <f t="shared" si="44"/>
        <v>2023</v>
      </c>
      <c r="U330" s="6" t="str">
        <f t="shared" si="45"/>
        <v>Fast</v>
      </c>
      <c r="V330" s="6" t="str">
        <f t="shared" si="46"/>
        <v>Normal</v>
      </c>
      <c r="W330" s="6" t="str">
        <f t="shared" si="47"/>
        <v>No</v>
      </c>
    </row>
    <row r="331" spans="1:23" x14ac:dyDescent="0.3">
      <c r="A331" s="9" t="s">
        <v>658</v>
      </c>
      <c r="B331" s="5">
        <v>45322</v>
      </c>
      <c r="C331" s="4" t="s">
        <v>325</v>
      </c>
      <c r="D331" s="4" t="s">
        <v>326</v>
      </c>
      <c r="E331" s="4" t="s">
        <v>270</v>
      </c>
      <c r="F331" s="4" t="s">
        <v>19</v>
      </c>
      <c r="G331" s="4" t="s">
        <v>54</v>
      </c>
      <c r="H331" s="4" t="s">
        <v>84</v>
      </c>
      <c r="I331" s="4">
        <v>4</v>
      </c>
      <c r="J331" s="4">
        <v>280</v>
      </c>
      <c r="K331" s="4">
        <v>5</v>
      </c>
      <c r="L331" s="4">
        <v>1064</v>
      </c>
      <c r="M331" s="4" t="s">
        <v>43</v>
      </c>
      <c r="N331" s="4" t="s">
        <v>37</v>
      </c>
      <c r="O331" s="4">
        <v>3</v>
      </c>
      <c r="P331" s="6">
        <f t="shared" si="40"/>
        <v>1120</v>
      </c>
      <c r="Q331" s="6">
        <f t="shared" si="41"/>
        <v>56</v>
      </c>
      <c r="R331" s="6">
        <f t="shared" si="42"/>
        <v>212.8</v>
      </c>
      <c r="S331" s="6" t="str">
        <f t="shared" si="43"/>
        <v>Jan</v>
      </c>
      <c r="T331" s="6">
        <f t="shared" si="44"/>
        <v>2024</v>
      </c>
      <c r="U331" s="6" t="str">
        <f t="shared" si="45"/>
        <v>Fast</v>
      </c>
      <c r="V331" s="6" t="str">
        <f t="shared" si="46"/>
        <v>Normal</v>
      </c>
      <c r="W331" s="6" t="str">
        <f t="shared" si="47"/>
        <v>No</v>
      </c>
    </row>
    <row r="332" spans="1:23" x14ac:dyDescent="0.3">
      <c r="A332" s="8" t="s">
        <v>659</v>
      </c>
      <c r="B332" s="3">
        <v>44969</v>
      </c>
      <c r="C332" s="2" t="s">
        <v>279</v>
      </c>
      <c r="D332" s="2" t="s">
        <v>280</v>
      </c>
      <c r="E332" s="2" t="s">
        <v>35</v>
      </c>
      <c r="F332" s="2" t="s">
        <v>19</v>
      </c>
      <c r="G332" s="2" t="s">
        <v>69</v>
      </c>
      <c r="H332" s="2" t="s">
        <v>482</v>
      </c>
      <c r="I332" s="2">
        <v>3</v>
      </c>
      <c r="J332" s="2">
        <v>2800</v>
      </c>
      <c r="K332" s="2">
        <v>5</v>
      </c>
      <c r="L332" s="2">
        <v>7980</v>
      </c>
      <c r="M332" s="2" t="s">
        <v>43</v>
      </c>
      <c r="N332" s="2" t="s">
        <v>37</v>
      </c>
      <c r="O332" s="2">
        <v>8</v>
      </c>
      <c r="P332" s="6">
        <f t="shared" si="40"/>
        <v>8400</v>
      </c>
      <c r="Q332" s="6">
        <f t="shared" si="41"/>
        <v>420</v>
      </c>
      <c r="R332" s="6">
        <f t="shared" si="42"/>
        <v>1596</v>
      </c>
      <c r="S332" s="6" t="str">
        <f t="shared" si="43"/>
        <v>Feb</v>
      </c>
      <c r="T332" s="6">
        <f t="shared" si="44"/>
        <v>2023</v>
      </c>
      <c r="U332" s="6" t="str">
        <f t="shared" si="45"/>
        <v>Delayed</v>
      </c>
      <c r="V332" s="6" t="str">
        <f t="shared" si="46"/>
        <v>High Value</v>
      </c>
      <c r="W332" s="6" t="str">
        <f t="shared" si="47"/>
        <v>Yes</v>
      </c>
    </row>
    <row r="333" spans="1:23" x14ac:dyDescent="0.3">
      <c r="A333" s="9" t="s">
        <v>660</v>
      </c>
      <c r="B333" s="5">
        <v>45055</v>
      </c>
      <c r="C333" s="4" t="s">
        <v>289</v>
      </c>
      <c r="D333" s="4" t="s">
        <v>290</v>
      </c>
      <c r="E333" s="4" t="s">
        <v>41</v>
      </c>
      <c r="F333" s="4" t="s">
        <v>19</v>
      </c>
      <c r="G333" s="4" t="s">
        <v>20</v>
      </c>
      <c r="H333" s="4" t="s">
        <v>327</v>
      </c>
      <c r="I333" s="4">
        <v>1</v>
      </c>
      <c r="J333" s="4">
        <v>950</v>
      </c>
      <c r="K333" s="4">
        <v>0</v>
      </c>
      <c r="L333" s="4">
        <v>950</v>
      </c>
      <c r="M333" s="4" t="s">
        <v>43</v>
      </c>
      <c r="N333" s="4" t="s">
        <v>37</v>
      </c>
      <c r="O333" s="4">
        <v>10</v>
      </c>
      <c r="P333" s="6">
        <f t="shared" si="40"/>
        <v>950</v>
      </c>
      <c r="Q333" s="6">
        <f t="shared" si="41"/>
        <v>0</v>
      </c>
      <c r="R333" s="6">
        <f t="shared" si="42"/>
        <v>190</v>
      </c>
      <c r="S333" s="6" t="str">
        <f t="shared" si="43"/>
        <v>May</v>
      </c>
      <c r="T333" s="6">
        <f t="shared" si="44"/>
        <v>2023</v>
      </c>
      <c r="U333" s="6" t="str">
        <f t="shared" si="45"/>
        <v>Delayed</v>
      </c>
      <c r="V333" s="6" t="str">
        <f t="shared" si="46"/>
        <v>Normal</v>
      </c>
      <c r="W333" s="6" t="str">
        <f t="shared" si="47"/>
        <v>No</v>
      </c>
    </row>
    <row r="334" spans="1:23" x14ac:dyDescent="0.3">
      <c r="A334" s="8" t="s">
        <v>661</v>
      </c>
      <c r="B334" s="3">
        <v>45186</v>
      </c>
      <c r="C334" s="2" t="s">
        <v>529</v>
      </c>
      <c r="D334" s="2" t="s">
        <v>530</v>
      </c>
      <c r="E334" s="2" t="s">
        <v>137</v>
      </c>
      <c r="F334" s="2" t="s">
        <v>19</v>
      </c>
      <c r="G334" s="2" t="s">
        <v>126</v>
      </c>
      <c r="H334" s="2" t="s">
        <v>409</v>
      </c>
      <c r="I334" s="2">
        <v>1</v>
      </c>
      <c r="J334" s="2">
        <v>1800</v>
      </c>
      <c r="K334" s="2">
        <v>5</v>
      </c>
      <c r="L334" s="2">
        <v>1710</v>
      </c>
      <c r="M334" s="2" t="s">
        <v>143</v>
      </c>
      <c r="N334" s="2" t="s">
        <v>37</v>
      </c>
      <c r="O334" s="2">
        <v>3</v>
      </c>
      <c r="P334" s="6">
        <f t="shared" si="40"/>
        <v>1800</v>
      </c>
      <c r="Q334" s="6">
        <f t="shared" si="41"/>
        <v>90</v>
      </c>
      <c r="R334" s="6">
        <f t="shared" si="42"/>
        <v>342</v>
      </c>
      <c r="S334" s="6" t="str">
        <f t="shared" si="43"/>
        <v>Sep</v>
      </c>
      <c r="T334" s="6">
        <f t="shared" si="44"/>
        <v>2023</v>
      </c>
      <c r="U334" s="6" t="str">
        <f t="shared" si="45"/>
        <v>Fast</v>
      </c>
      <c r="V334" s="6" t="str">
        <f t="shared" si="46"/>
        <v>Normal</v>
      </c>
      <c r="W334" s="6" t="str">
        <f t="shared" si="47"/>
        <v>Yes</v>
      </c>
    </row>
    <row r="335" spans="1:23" x14ac:dyDescent="0.3">
      <c r="A335" s="9" t="s">
        <v>662</v>
      </c>
      <c r="B335" s="5">
        <v>45052</v>
      </c>
      <c r="C335" s="4" t="s">
        <v>310</v>
      </c>
      <c r="D335" s="4" t="s">
        <v>311</v>
      </c>
      <c r="E335" s="4" t="s">
        <v>253</v>
      </c>
      <c r="F335" s="4" t="s">
        <v>155</v>
      </c>
      <c r="G335" s="4" t="s">
        <v>54</v>
      </c>
      <c r="H335" s="4" t="s">
        <v>86</v>
      </c>
      <c r="I335" s="4">
        <v>3</v>
      </c>
      <c r="J335" s="4">
        <v>450</v>
      </c>
      <c r="K335" s="4">
        <v>5</v>
      </c>
      <c r="L335" s="4">
        <v>1282.5</v>
      </c>
      <c r="M335" s="4" t="s">
        <v>71</v>
      </c>
      <c r="N335" s="4" t="s">
        <v>37</v>
      </c>
      <c r="O335" s="4">
        <v>7</v>
      </c>
      <c r="P335" s="6">
        <f t="shared" si="40"/>
        <v>1350</v>
      </c>
      <c r="Q335" s="6">
        <f t="shared" si="41"/>
        <v>67.5</v>
      </c>
      <c r="R335" s="6">
        <f t="shared" si="42"/>
        <v>256.5</v>
      </c>
      <c r="S335" s="6" t="str">
        <f t="shared" si="43"/>
        <v>May</v>
      </c>
      <c r="T335" s="6">
        <f t="shared" si="44"/>
        <v>2023</v>
      </c>
      <c r="U335" s="6" t="str">
        <f t="shared" si="45"/>
        <v>Delayed</v>
      </c>
      <c r="V335" s="6" t="str">
        <f t="shared" si="46"/>
        <v>Normal</v>
      </c>
      <c r="W335" s="6" t="str">
        <f t="shared" si="47"/>
        <v>Yes</v>
      </c>
    </row>
    <row r="336" spans="1:23" x14ac:dyDescent="0.3">
      <c r="A336" s="8" t="s">
        <v>663</v>
      </c>
      <c r="B336" s="3">
        <v>45200</v>
      </c>
      <c r="C336" s="2" t="s">
        <v>196</v>
      </c>
      <c r="D336" s="2" t="s">
        <v>197</v>
      </c>
      <c r="E336" s="2" t="s">
        <v>176</v>
      </c>
      <c r="F336" s="2" t="s">
        <v>177</v>
      </c>
      <c r="G336" s="2" t="s">
        <v>149</v>
      </c>
      <c r="H336" s="2" t="s">
        <v>446</v>
      </c>
      <c r="I336" s="2">
        <v>4</v>
      </c>
      <c r="J336" s="2">
        <v>449</v>
      </c>
      <c r="K336" s="2">
        <v>10</v>
      </c>
      <c r="L336" s="2">
        <v>1616.4</v>
      </c>
      <c r="M336" s="2" t="s">
        <v>107</v>
      </c>
      <c r="N336" s="2" t="s">
        <v>37</v>
      </c>
      <c r="O336" s="2">
        <v>10</v>
      </c>
      <c r="P336" s="6">
        <f t="shared" si="40"/>
        <v>1796</v>
      </c>
      <c r="Q336" s="6">
        <f t="shared" si="41"/>
        <v>179.60000000000002</v>
      </c>
      <c r="R336" s="6">
        <f t="shared" si="42"/>
        <v>323.28000000000003</v>
      </c>
      <c r="S336" s="6" t="str">
        <f t="shared" si="43"/>
        <v>Oct</v>
      </c>
      <c r="T336" s="6">
        <f t="shared" si="44"/>
        <v>2023</v>
      </c>
      <c r="U336" s="6" t="str">
        <f t="shared" si="45"/>
        <v>Delayed</v>
      </c>
      <c r="V336" s="6" t="str">
        <f t="shared" si="46"/>
        <v>Normal</v>
      </c>
      <c r="W336" s="6" t="str">
        <f t="shared" si="47"/>
        <v>Yes</v>
      </c>
    </row>
    <row r="337" spans="1:23" x14ac:dyDescent="0.3">
      <c r="A337" s="9" t="s">
        <v>664</v>
      </c>
      <c r="B337" s="5">
        <v>45322</v>
      </c>
      <c r="C337" s="4" t="s">
        <v>330</v>
      </c>
      <c r="D337" s="4" t="s">
        <v>331</v>
      </c>
      <c r="E337" s="4" t="s">
        <v>176</v>
      </c>
      <c r="F337" s="4" t="s">
        <v>177</v>
      </c>
      <c r="G337" s="4" t="s">
        <v>69</v>
      </c>
      <c r="H337" s="4" t="s">
        <v>236</v>
      </c>
      <c r="I337" s="4">
        <v>1</v>
      </c>
      <c r="J337" s="4">
        <v>1600</v>
      </c>
      <c r="K337" s="4">
        <v>15</v>
      </c>
      <c r="L337" s="4">
        <v>1360</v>
      </c>
      <c r="M337" s="4" t="s">
        <v>30</v>
      </c>
      <c r="N337" s="4" t="s">
        <v>31</v>
      </c>
      <c r="O337" s="4">
        <v>4</v>
      </c>
      <c r="P337" s="6">
        <f t="shared" si="40"/>
        <v>1600</v>
      </c>
      <c r="Q337" s="6">
        <f t="shared" si="41"/>
        <v>240</v>
      </c>
      <c r="R337" s="6">
        <f t="shared" si="42"/>
        <v>272</v>
      </c>
      <c r="S337" s="6" t="str">
        <f t="shared" si="43"/>
        <v>Jan</v>
      </c>
      <c r="T337" s="6">
        <f t="shared" si="44"/>
        <v>2024</v>
      </c>
      <c r="U337" s="6" t="str">
        <f t="shared" si="45"/>
        <v>Delayed</v>
      </c>
      <c r="V337" s="6" t="str">
        <f t="shared" si="46"/>
        <v>Normal</v>
      </c>
      <c r="W337" s="6" t="str">
        <f t="shared" si="47"/>
        <v>No</v>
      </c>
    </row>
    <row r="338" spans="1:23" x14ac:dyDescent="0.3">
      <c r="A338" s="8" t="s">
        <v>665</v>
      </c>
      <c r="B338" s="3">
        <v>44951</v>
      </c>
      <c r="C338" s="2" t="s">
        <v>529</v>
      </c>
      <c r="D338" s="2" t="s">
        <v>530</v>
      </c>
      <c r="E338" s="2" t="s">
        <v>137</v>
      </c>
      <c r="F338" s="2" t="s">
        <v>19</v>
      </c>
      <c r="G338" s="2" t="s">
        <v>47</v>
      </c>
      <c r="H338" s="2" t="s">
        <v>96</v>
      </c>
      <c r="I338" s="2">
        <v>3</v>
      </c>
      <c r="J338" s="2">
        <v>380</v>
      </c>
      <c r="K338" s="2">
        <v>0</v>
      </c>
      <c r="L338" s="2">
        <v>1140</v>
      </c>
      <c r="M338" s="2" t="s">
        <v>71</v>
      </c>
      <c r="N338" s="2" t="s">
        <v>37</v>
      </c>
      <c r="O338" s="2">
        <v>3</v>
      </c>
      <c r="P338" s="6">
        <f t="shared" si="40"/>
        <v>1140</v>
      </c>
      <c r="Q338" s="6">
        <f t="shared" si="41"/>
        <v>0</v>
      </c>
      <c r="R338" s="6">
        <f t="shared" si="42"/>
        <v>228</v>
      </c>
      <c r="S338" s="6" t="str">
        <f t="shared" si="43"/>
        <v>Jan</v>
      </c>
      <c r="T338" s="6">
        <f t="shared" si="44"/>
        <v>2023</v>
      </c>
      <c r="U338" s="6" t="str">
        <f t="shared" si="45"/>
        <v>Fast</v>
      </c>
      <c r="V338" s="6" t="str">
        <f t="shared" si="46"/>
        <v>Normal</v>
      </c>
      <c r="W338" s="6" t="str">
        <f t="shared" si="47"/>
        <v>No</v>
      </c>
    </row>
    <row r="339" spans="1:23" x14ac:dyDescent="0.3">
      <c r="A339" s="9" t="s">
        <v>666</v>
      </c>
      <c r="B339" s="5">
        <v>45045</v>
      </c>
      <c r="C339" s="4" t="s">
        <v>77</v>
      </c>
      <c r="D339" s="4" t="s">
        <v>78</v>
      </c>
      <c r="E339" s="4" t="s">
        <v>79</v>
      </c>
      <c r="F339" s="4" t="s">
        <v>79</v>
      </c>
      <c r="G339" s="4" t="s">
        <v>149</v>
      </c>
      <c r="H339" s="4" t="s">
        <v>463</v>
      </c>
      <c r="I339" s="4">
        <v>4</v>
      </c>
      <c r="J339" s="4">
        <v>380</v>
      </c>
      <c r="K339" s="4">
        <v>5</v>
      </c>
      <c r="L339" s="4">
        <v>1444</v>
      </c>
      <c r="M339" s="4" t="s">
        <v>143</v>
      </c>
      <c r="N339" s="4" t="s">
        <v>31</v>
      </c>
      <c r="O339" s="4">
        <v>2</v>
      </c>
      <c r="P339" s="6">
        <f t="shared" si="40"/>
        <v>1520</v>
      </c>
      <c r="Q339" s="6">
        <f t="shared" si="41"/>
        <v>76</v>
      </c>
      <c r="R339" s="6">
        <f t="shared" si="42"/>
        <v>288.8</v>
      </c>
      <c r="S339" s="6" t="str">
        <f t="shared" si="43"/>
        <v>Apr</v>
      </c>
      <c r="T339" s="6">
        <f t="shared" si="44"/>
        <v>2023</v>
      </c>
      <c r="U339" s="6" t="str">
        <f t="shared" si="45"/>
        <v>Fast</v>
      </c>
      <c r="V339" s="6" t="str">
        <f t="shared" si="46"/>
        <v>Normal</v>
      </c>
      <c r="W339" s="6" t="str">
        <f t="shared" si="47"/>
        <v>Yes</v>
      </c>
    </row>
    <row r="340" spans="1:23" x14ac:dyDescent="0.3">
      <c r="A340" s="8" t="s">
        <v>667</v>
      </c>
      <c r="B340" s="3">
        <v>45104</v>
      </c>
      <c r="C340" s="2" t="s">
        <v>174</v>
      </c>
      <c r="D340" s="2" t="s">
        <v>175</v>
      </c>
      <c r="E340" s="2" t="s">
        <v>176</v>
      </c>
      <c r="F340" s="2" t="s">
        <v>177</v>
      </c>
      <c r="G340" s="2" t="s">
        <v>149</v>
      </c>
      <c r="H340" s="2" t="s">
        <v>463</v>
      </c>
      <c r="I340" s="2">
        <v>4</v>
      </c>
      <c r="J340" s="2">
        <v>380</v>
      </c>
      <c r="K340" s="2">
        <v>0</v>
      </c>
      <c r="L340" s="2">
        <v>1520</v>
      </c>
      <c r="M340" s="2" t="s">
        <v>107</v>
      </c>
      <c r="N340" s="2" t="s">
        <v>37</v>
      </c>
      <c r="O340" s="2">
        <v>2</v>
      </c>
      <c r="P340" s="6">
        <f t="shared" si="40"/>
        <v>1520</v>
      </c>
      <c r="Q340" s="6">
        <f t="shared" si="41"/>
        <v>0</v>
      </c>
      <c r="R340" s="6">
        <f t="shared" si="42"/>
        <v>304</v>
      </c>
      <c r="S340" s="6" t="str">
        <f t="shared" si="43"/>
        <v>Jun</v>
      </c>
      <c r="T340" s="6">
        <f t="shared" si="44"/>
        <v>2023</v>
      </c>
      <c r="U340" s="6" t="str">
        <f t="shared" si="45"/>
        <v>Fast</v>
      </c>
      <c r="V340" s="6" t="str">
        <f t="shared" si="46"/>
        <v>Normal</v>
      </c>
      <c r="W340" s="6" t="str">
        <f t="shared" si="47"/>
        <v>No</v>
      </c>
    </row>
    <row r="341" spans="1:23" x14ac:dyDescent="0.3">
      <c r="A341" s="9" t="s">
        <v>668</v>
      </c>
      <c r="B341" s="5">
        <v>45437</v>
      </c>
      <c r="C341" s="4" t="s">
        <v>77</v>
      </c>
      <c r="D341" s="4" t="s">
        <v>78</v>
      </c>
      <c r="E341" s="4" t="s">
        <v>79</v>
      </c>
      <c r="F341" s="4" t="s">
        <v>79</v>
      </c>
      <c r="G341" s="4" t="s">
        <v>69</v>
      </c>
      <c r="H341" s="4" t="s">
        <v>236</v>
      </c>
      <c r="I341" s="4">
        <v>4</v>
      </c>
      <c r="J341" s="4">
        <v>1600</v>
      </c>
      <c r="K341" s="4">
        <v>0</v>
      </c>
      <c r="L341" s="4">
        <v>6400</v>
      </c>
      <c r="M341" s="4" t="s">
        <v>30</v>
      </c>
      <c r="N341" s="4" t="s">
        <v>37</v>
      </c>
      <c r="O341" s="4">
        <v>10</v>
      </c>
      <c r="P341" s="6">
        <f t="shared" si="40"/>
        <v>6400</v>
      </c>
      <c r="Q341" s="6">
        <f t="shared" si="41"/>
        <v>0</v>
      </c>
      <c r="R341" s="6">
        <f t="shared" si="42"/>
        <v>1280</v>
      </c>
      <c r="S341" s="6" t="str">
        <f t="shared" si="43"/>
        <v>May</v>
      </c>
      <c r="T341" s="6">
        <f t="shared" si="44"/>
        <v>2024</v>
      </c>
      <c r="U341" s="6" t="str">
        <f t="shared" si="45"/>
        <v>Delayed</v>
      </c>
      <c r="V341" s="6" t="str">
        <f t="shared" si="46"/>
        <v>High Value</v>
      </c>
      <c r="W341" s="6" t="str">
        <f t="shared" si="47"/>
        <v>Yes</v>
      </c>
    </row>
    <row r="342" spans="1:23" x14ac:dyDescent="0.3">
      <c r="A342" s="8" t="s">
        <v>669</v>
      </c>
      <c r="B342" s="3">
        <v>45000</v>
      </c>
      <c r="C342" s="2" t="s">
        <v>234</v>
      </c>
      <c r="D342" s="2" t="s">
        <v>235</v>
      </c>
      <c r="E342" s="2" t="s">
        <v>52</v>
      </c>
      <c r="F342" s="2" t="s">
        <v>53</v>
      </c>
      <c r="G342" s="2" t="s">
        <v>47</v>
      </c>
      <c r="H342" s="2" t="s">
        <v>379</v>
      </c>
      <c r="I342" s="2">
        <v>4</v>
      </c>
      <c r="J342" s="2">
        <v>950</v>
      </c>
      <c r="K342" s="2">
        <v>0</v>
      </c>
      <c r="L342" s="2">
        <v>3800</v>
      </c>
      <c r="M342" s="2" t="s">
        <v>30</v>
      </c>
      <c r="N342" s="2" t="s">
        <v>37</v>
      </c>
      <c r="O342" s="2">
        <v>7</v>
      </c>
      <c r="P342" s="6">
        <f t="shared" si="40"/>
        <v>3800</v>
      </c>
      <c r="Q342" s="6">
        <f t="shared" si="41"/>
        <v>0</v>
      </c>
      <c r="R342" s="6">
        <f t="shared" si="42"/>
        <v>760</v>
      </c>
      <c r="S342" s="6" t="str">
        <f t="shared" si="43"/>
        <v>Mar</v>
      </c>
      <c r="T342" s="6">
        <f t="shared" si="44"/>
        <v>2023</v>
      </c>
      <c r="U342" s="6" t="str">
        <f t="shared" si="45"/>
        <v>Delayed</v>
      </c>
      <c r="V342" s="6" t="str">
        <f t="shared" si="46"/>
        <v>Normal</v>
      </c>
      <c r="W342" s="6" t="str">
        <f t="shared" si="47"/>
        <v>No</v>
      </c>
    </row>
    <row r="343" spans="1:23" x14ac:dyDescent="0.3">
      <c r="A343" s="9" t="s">
        <v>670</v>
      </c>
      <c r="B343" s="5">
        <v>45445</v>
      </c>
      <c r="C343" s="4" t="s">
        <v>165</v>
      </c>
      <c r="D343" s="4" t="s">
        <v>166</v>
      </c>
      <c r="E343" s="4" t="s">
        <v>27</v>
      </c>
      <c r="F343" s="4" t="s">
        <v>19</v>
      </c>
      <c r="G343" s="4" t="s">
        <v>20</v>
      </c>
      <c r="H343" s="4" t="s">
        <v>116</v>
      </c>
      <c r="I343" s="4">
        <v>3</v>
      </c>
      <c r="J343" s="4">
        <v>450</v>
      </c>
      <c r="K343" s="4">
        <v>15</v>
      </c>
      <c r="L343" s="4">
        <v>1147.5</v>
      </c>
      <c r="M343" s="4" t="s">
        <v>22</v>
      </c>
      <c r="N343" s="4" t="s">
        <v>37</v>
      </c>
      <c r="O343" s="4">
        <v>10</v>
      </c>
      <c r="P343" s="6">
        <f t="shared" si="40"/>
        <v>1350</v>
      </c>
      <c r="Q343" s="6">
        <f t="shared" si="41"/>
        <v>202.5</v>
      </c>
      <c r="R343" s="6">
        <f t="shared" si="42"/>
        <v>229.5</v>
      </c>
      <c r="S343" s="6" t="str">
        <f t="shared" si="43"/>
        <v>Jun</v>
      </c>
      <c r="T343" s="6">
        <f t="shared" si="44"/>
        <v>2024</v>
      </c>
      <c r="U343" s="6" t="str">
        <f t="shared" si="45"/>
        <v>Delayed</v>
      </c>
      <c r="V343" s="6" t="str">
        <f t="shared" si="46"/>
        <v>Normal</v>
      </c>
      <c r="W343" s="6" t="str">
        <f t="shared" si="47"/>
        <v>Yes</v>
      </c>
    </row>
    <row r="344" spans="1:23" x14ac:dyDescent="0.3">
      <c r="A344" s="8" t="s">
        <v>671</v>
      </c>
      <c r="B344" s="3">
        <v>45281</v>
      </c>
      <c r="C344" s="2" t="s">
        <v>441</v>
      </c>
      <c r="D344" s="2" t="s">
        <v>442</v>
      </c>
      <c r="E344" s="2" t="s">
        <v>41</v>
      </c>
      <c r="F344" s="2" t="s">
        <v>19</v>
      </c>
      <c r="G344" s="2" t="s">
        <v>54</v>
      </c>
      <c r="H344" s="2" t="s">
        <v>86</v>
      </c>
      <c r="I344" s="2">
        <v>3</v>
      </c>
      <c r="J344" s="2">
        <v>450</v>
      </c>
      <c r="K344" s="2">
        <v>15</v>
      </c>
      <c r="L344" s="2">
        <v>1147.5</v>
      </c>
      <c r="M344" s="2" t="s">
        <v>107</v>
      </c>
      <c r="N344" s="2" t="s">
        <v>37</v>
      </c>
      <c r="O344" s="2">
        <v>4</v>
      </c>
      <c r="P344" s="6">
        <f t="shared" si="40"/>
        <v>1350</v>
      </c>
      <c r="Q344" s="6">
        <f t="shared" si="41"/>
        <v>202.5</v>
      </c>
      <c r="R344" s="6">
        <f t="shared" si="42"/>
        <v>229.5</v>
      </c>
      <c r="S344" s="6" t="str">
        <f t="shared" si="43"/>
        <v>Dec</v>
      </c>
      <c r="T344" s="6">
        <f t="shared" si="44"/>
        <v>2023</v>
      </c>
      <c r="U344" s="6" t="str">
        <f t="shared" si="45"/>
        <v>Delayed</v>
      </c>
      <c r="V344" s="6" t="str">
        <f t="shared" si="46"/>
        <v>Normal</v>
      </c>
      <c r="W344" s="6" t="str">
        <f t="shared" si="47"/>
        <v>No</v>
      </c>
    </row>
    <row r="345" spans="1:23" x14ac:dyDescent="0.3">
      <c r="A345" s="9" t="s">
        <v>672</v>
      </c>
      <c r="B345" s="5">
        <v>45074</v>
      </c>
      <c r="C345" s="4" t="s">
        <v>161</v>
      </c>
      <c r="D345" s="4" t="s">
        <v>162</v>
      </c>
      <c r="E345" s="4" t="s">
        <v>83</v>
      </c>
      <c r="F345" s="4" t="s">
        <v>19</v>
      </c>
      <c r="G345" s="4" t="s">
        <v>69</v>
      </c>
      <c r="H345" s="4" t="s">
        <v>194</v>
      </c>
      <c r="I345" s="4">
        <v>1</v>
      </c>
      <c r="J345" s="4">
        <v>799</v>
      </c>
      <c r="K345" s="4">
        <v>10</v>
      </c>
      <c r="L345" s="4">
        <v>719.1</v>
      </c>
      <c r="M345" s="4" t="s">
        <v>22</v>
      </c>
      <c r="N345" s="4" t="s">
        <v>64</v>
      </c>
      <c r="O345" s="4">
        <v>2</v>
      </c>
      <c r="P345" s="6">
        <f t="shared" si="40"/>
        <v>799</v>
      </c>
      <c r="Q345" s="6">
        <f t="shared" si="41"/>
        <v>79.900000000000006</v>
      </c>
      <c r="R345" s="6">
        <f t="shared" si="42"/>
        <v>143.82000000000002</v>
      </c>
      <c r="S345" s="6" t="str">
        <f t="shared" si="43"/>
        <v>May</v>
      </c>
      <c r="T345" s="6">
        <f t="shared" si="44"/>
        <v>2023</v>
      </c>
      <c r="U345" s="6" t="str">
        <f t="shared" si="45"/>
        <v>Fast</v>
      </c>
      <c r="V345" s="6" t="str">
        <f t="shared" si="46"/>
        <v>Normal</v>
      </c>
      <c r="W345" s="6" t="str">
        <f t="shared" si="47"/>
        <v>Yes</v>
      </c>
    </row>
    <row r="346" spans="1:23" x14ac:dyDescent="0.3">
      <c r="A346" s="8" t="s">
        <v>673</v>
      </c>
      <c r="B346" s="3">
        <v>45429</v>
      </c>
      <c r="C346" s="2" t="s">
        <v>174</v>
      </c>
      <c r="D346" s="2" t="s">
        <v>175</v>
      </c>
      <c r="E346" s="2" t="s">
        <v>176</v>
      </c>
      <c r="F346" s="2" t="s">
        <v>177</v>
      </c>
      <c r="G346" s="2" t="s">
        <v>126</v>
      </c>
      <c r="H346" s="2" t="s">
        <v>127</v>
      </c>
      <c r="I346" s="2">
        <v>1</v>
      </c>
      <c r="J346" s="2">
        <v>850</v>
      </c>
      <c r="K346" s="2">
        <v>0</v>
      </c>
      <c r="L346" s="2">
        <v>850</v>
      </c>
      <c r="M346" s="2" t="s">
        <v>143</v>
      </c>
      <c r="N346" s="2" t="s">
        <v>37</v>
      </c>
      <c r="O346" s="2">
        <v>1</v>
      </c>
      <c r="P346" s="6">
        <f t="shared" si="40"/>
        <v>850</v>
      </c>
      <c r="Q346" s="6">
        <f t="shared" si="41"/>
        <v>0</v>
      </c>
      <c r="R346" s="6">
        <f t="shared" si="42"/>
        <v>170</v>
      </c>
      <c r="S346" s="6" t="str">
        <f t="shared" si="43"/>
        <v>May</v>
      </c>
      <c r="T346" s="6">
        <f t="shared" si="44"/>
        <v>2024</v>
      </c>
      <c r="U346" s="6" t="str">
        <f t="shared" si="45"/>
        <v>Fast</v>
      </c>
      <c r="V346" s="6" t="str">
        <f t="shared" si="46"/>
        <v>Normal</v>
      </c>
      <c r="W346" s="6" t="str">
        <f t="shared" si="47"/>
        <v>No</v>
      </c>
    </row>
    <row r="347" spans="1:23" x14ac:dyDescent="0.3">
      <c r="A347" s="9" t="s">
        <v>674</v>
      </c>
      <c r="B347" s="5">
        <v>45082</v>
      </c>
      <c r="C347" s="4" t="s">
        <v>113</v>
      </c>
      <c r="D347" s="4" t="s">
        <v>114</v>
      </c>
      <c r="E347" s="4" t="s">
        <v>115</v>
      </c>
      <c r="F347" s="4" t="s">
        <v>19</v>
      </c>
      <c r="G347" s="4" t="s">
        <v>69</v>
      </c>
      <c r="H347" s="4" t="s">
        <v>194</v>
      </c>
      <c r="I347" s="4">
        <v>4</v>
      </c>
      <c r="J347" s="4">
        <v>799</v>
      </c>
      <c r="K347" s="4">
        <v>5</v>
      </c>
      <c r="L347" s="4">
        <v>3036.2</v>
      </c>
      <c r="M347" s="4" t="s">
        <v>107</v>
      </c>
      <c r="N347" s="4" t="s">
        <v>37</v>
      </c>
      <c r="O347" s="4">
        <v>1</v>
      </c>
      <c r="P347" s="6">
        <f t="shared" si="40"/>
        <v>3196</v>
      </c>
      <c r="Q347" s="6">
        <f t="shared" si="41"/>
        <v>159.80000000000001</v>
      </c>
      <c r="R347" s="6">
        <f t="shared" si="42"/>
        <v>607.24</v>
      </c>
      <c r="S347" s="6" t="str">
        <f t="shared" si="43"/>
        <v>Jun</v>
      </c>
      <c r="T347" s="6">
        <f t="shared" si="44"/>
        <v>2023</v>
      </c>
      <c r="U347" s="6" t="str">
        <f t="shared" si="45"/>
        <v>Fast</v>
      </c>
      <c r="V347" s="6" t="str">
        <f t="shared" si="46"/>
        <v>Normal</v>
      </c>
      <c r="W347" s="6" t="str">
        <f t="shared" si="47"/>
        <v>No</v>
      </c>
    </row>
    <row r="348" spans="1:23" x14ac:dyDescent="0.3">
      <c r="A348" s="8" t="s">
        <v>675</v>
      </c>
      <c r="B348" s="3">
        <v>45049</v>
      </c>
      <c r="C348" s="2" t="s">
        <v>25</v>
      </c>
      <c r="D348" s="2" t="s">
        <v>26</v>
      </c>
      <c r="E348" s="2" t="s">
        <v>27</v>
      </c>
      <c r="F348" s="2" t="s">
        <v>19</v>
      </c>
      <c r="G348" s="2" t="s">
        <v>126</v>
      </c>
      <c r="H348" s="2" t="s">
        <v>409</v>
      </c>
      <c r="I348" s="2">
        <v>2</v>
      </c>
      <c r="J348" s="2">
        <v>1800</v>
      </c>
      <c r="K348" s="2">
        <v>0</v>
      </c>
      <c r="L348" s="2">
        <v>3600</v>
      </c>
      <c r="M348" s="2" t="s">
        <v>22</v>
      </c>
      <c r="N348" s="2" t="s">
        <v>37</v>
      </c>
      <c r="O348" s="2">
        <v>9</v>
      </c>
      <c r="P348" s="6">
        <f t="shared" si="40"/>
        <v>3600</v>
      </c>
      <c r="Q348" s="6">
        <f t="shared" si="41"/>
        <v>0</v>
      </c>
      <c r="R348" s="6">
        <f t="shared" si="42"/>
        <v>720</v>
      </c>
      <c r="S348" s="6" t="str">
        <f t="shared" si="43"/>
        <v>May</v>
      </c>
      <c r="T348" s="6">
        <f t="shared" si="44"/>
        <v>2023</v>
      </c>
      <c r="U348" s="6" t="str">
        <f t="shared" si="45"/>
        <v>Delayed</v>
      </c>
      <c r="V348" s="6" t="str">
        <f t="shared" si="46"/>
        <v>Normal</v>
      </c>
      <c r="W348" s="6" t="str">
        <f t="shared" si="47"/>
        <v>No</v>
      </c>
    </row>
    <row r="349" spans="1:23" x14ac:dyDescent="0.3">
      <c r="A349" s="9" t="s">
        <v>676</v>
      </c>
      <c r="B349" s="5">
        <v>45457</v>
      </c>
      <c r="C349" s="4" t="s">
        <v>131</v>
      </c>
      <c r="D349" s="4" t="s">
        <v>132</v>
      </c>
      <c r="E349" s="4" t="s">
        <v>133</v>
      </c>
      <c r="F349" s="4" t="s">
        <v>19</v>
      </c>
      <c r="G349" s="4" t="s">
        <v>69</v>
      </c>
      <c r="H349" s="4" t="s">
        <v>274</v>
      </c>
      <c r="I349" s="4">
        <v>1</v>
      </c>
      <c r="J349" s="4">
        <v>1100</v>
      </c>
      <c r="K349" s="4">
        <v>0</v>
      </c>
      <c r="L349" s="4">
        <v>1100</v>
      </c>
      <c r="M349" s="4" t="s">
        <v>43</v>
      </c>
      <c r="N349" s="4" t="s">
        <v>37</v>
      </c>
      <c r="O349" s="4">
        <v>1</v>
      </c>
      <c r="P349" s="6">
        <f t="shared" si="40"/>
        <v>1100</v>
      </c>
      <c r="Q349" s="6">
        <f t="shared" si="41"/>
        <v>0</v>
      </c>
      <c r="R349" s="6">
        <f t="shared" si="42"/>
        <v>220</v>
      </c>
      <c r="S349" s="6" t="str">
        <f t="shared" si="43"/>
        <v>Jun</v>
      </c>
      <c r="T349" s="6">
        <f t="shared" si="44"/>
        <v>2024</v>
      </c>
      <c r="U349" s="6" t="str">
        <f t="shared" si="45"/>
        <v>Fast</v>
      </c>
      <c r="V349" s="6" t="str">
        <f t="shared" si="46"/>
        <v>Normal</v>
      </c>
      <c r="W349" s="6" t="str">
        <f t="shared" si="47"/>
        <v>No</v>
      </c>
    </row>
    <row r="350" spans="1:23" x14ac:dyDescent="0.3">
      <c r="A350" s="8" t="s">
        <v>677</v>
      </c>
      <c r="B350" s="3">
        <v>45394</v>
      </c>
      <c r="C350" s="2" t="s">
        <v>113</v>
      </c>
      <c r="D350" s="2" t="s">
        <v>114</v>
      </c>
      <c r="E350" s="2" t="s">
        <v>115</v>
      </c>
      <c r="F350" s="2" t="s">
        <v>19</v>
      </c>
      <c r="G350" s="2" t="s">
        <v>20</v>
      </c>
      <c r="H350" s="2" t="s">
        <v>202</v>
      </c>
      <c r="I350" s="2">
        <v>2</v>
      </c>
      <c r="J350" s="2">
        <v>650</v>
      </c>
      <c r="K350" s="2">
        <v>10</v>
      </c>
      <c r="L350" s="2">
        <v>1170</v>
      </c>
      <c r="M350" s="2" t="s">
        <v>71</v>
      </c>
      <c r="N350" s="2" t="s">
        <v>37</v>
      </c>
      <c r="O350" s="2">
        <v>6</v>
      </c>
      <c r="P350" s="6">
        <f t="shared" si="40"/>
        <v>1300</v>
      </c>
      <c r="Q350" s="6">
        <f t="shared" si="41"/>
        <v>130</v>
      </c>
      <c r="R350" s="6">
        <f t="shared" si="42"/>
        <v>234</v>
      </c>
      <c r="S350" s="6" t="str">
        <f t="shared" si="43"/>
        <v>Apr</v>
      </c>
      <c r="T350" s="6">
        <f t="shared" si="44"/>
        <v>2024</v>
      </c>
      <c r="U350" s="6" t="str">
        <f t="shared" si="45"/>
        <v>Delayed</v>
      </c>
      <c r="V350" s="6" t="str">
        <f t="shared" si="46"/>
        <v>Normal</v>
      </c>
      <c r="W350" s="6" t="str">
        <f t="shared" si="47"/>
        <v>No</v>
      </c>
    </row>
    <row r="351" spans="1:23" x14ac:dyDescent="0.3">
      <c r="A351" s="9" t="s">
        <v>678</v>
      </c>
      <c r="B351" s="5">
        <v>45327</v>
      </c>
      <c r="C351" s="4" t="s">
        <v>94</v>
      </c>
      <c r="D351" s="4" t="s">
        <v>95</v>
      </c>
      <c r="E351" s="4" t="s">
        <v>79</v>
      </c>
      <c r="F351" s="4" t="s">
        <v>79</v>
      </c>
      <c r="G351" s="4" t="s">
        <v>69</v>
      </c>
      <c r="H351" s="4" t="s">
        <v>236</v>
      </c>
      <c r="I351" s="4">
        <v>2</v>
      </c>
      <c r="J351" s="4">
        <v>1600</v>
      </c>
      <c r="K351" s="4">
        <v>0</v>
      </c>
      <c r="L351" s="4">
        <v>3200</v>
      </c>
      <c r="M351" s="4" t="s">
        <v>30</v>
      </c>
      <c r="N351" s="4" t="s">
        <v>23</v>
      </c>
      <c r="O351" s="4">
        <v>0</v>
      </c>
      <c r="P351" s="6">
        <f t="shared" si="40"/>
        <v>3200</v>
      </c>
      <c r="Q351" s="6">
        <f t="shared" si="41"/>
        <v>0</v>
      </c>
      <c r="R351" s="6">
        <f t="shared" si="42"/>
        <v>640</v>
      </c>
      <c r="S351" s="6" t="str">
        <f t="shared" si="43"/>
        <v>Feb</v>
      </c>
      <c r="T351" s="6">
        <f t="shared" si="44"/>
        <v>2024</v>
      </c>
      <c r="U351" s="6" t="str">
        <f t="shared" si="45"/>
        <v>Fast</v>
      </c>
      <c r="V351" s="6" t="str">
        <f t="shared" si="46"/>
        <v>Normal</v>
      </c>
      <c r="W351" s="6" t="str">
        <f t="shared" si="47"/>
        <v>No</v>
      </c>
    </row>
    <row r="352" spans="1:23" x14ac:dyDescent="0.3">
      <c r="A352" s="8" t="s">
        <v>679</v>
      </c>
      <c r="B352" s="3">
        <v>45187</v>
      </c>
      <c r="C352" s="2" t="s">
        <v>57</v>
      </c>
      <c r="D352" s="2" t="s">
        <v>58</v>
      </c>
      <c r="E352" s="2" t="s">
        <v>18</v>
      </c>
      <c r="F352" s="2" t="s">
        <v>19</v>
      </c>
      <c r="G352" s="2" t="s">
        <v>20</v>
      </c>
      <c r="H352" s="2" t="s">
        <v>355</v>
      </c>
      <c r="I352" s="2">
        <v>1</v>
      </c>
      <c r="J352" s="2">
        <v>800</v>
      </c>
      <c r="K352" s="2">
        <v>5</v>
      </c>
      <c r="L352" s="2">
        <v>760</v>
      </c>
      <c r="M352" s="2" t="s">
        <v>30</v>
      </c>
      <c r="N352" s="2" t="s">
        <v>23</v>
      </c>
      <c r="O352" s="2">
        <v>0</v>
      </c>
      <c r="P352" s="6">
        <f t="shared" si="40"/>
        <v>800</v>
      </c>
      <c r="Q352" s="6">
        <f t="shared" si="41"/>
        <v>40</v>
      </c>
      <c r="R352" s="6">
        <f t="shared" si="42"/>
        <v>152</v>
      </c>
      <c r="S352" s="6" t="str">
        <f t="shared" si="43"/>
        <v>Sep</v>
      </c>
      <c r="T352" s="6">
        <f t="shared" si="44"/>
        <v>2023</v>
      </c>
      <c r="U352" s="6" t="str">
        <f t="shared" si="45"/>
        <v>Fast</v>
      </c>
      <c r="V352" s="6" t="str">
        <f t="shared" si="46"/>
        <v>Normal</v>
      </c>
      <c r="W352" s="6" t="str">
        <f t="shared" si="47"/>
        <v>No</v>
      </c>
    </row>
    <row r="353" spans="1:23" x14ac:dyDescent="0.3">
      <c r="A353" s="9" t="s">
        <v>680</v>
      </c>
      <c r="B353" s="5">
        <v>45367</v>
      </c>
      <c r="C353" s="4" t="s">
        <v>238</v>
      </c>
      <c r="D353" s="4" t="s">
        <v>239</v>
      </c>
      <c r="E353" s="4" t="s">
        <v>68</v>
      </c>
      <c r="F353" s="4" t="s">
        <v>19</v>
      </c>
      <c r="G353" s="4" t="s">
        <v>28</v>
      </c>
      <c r="H353" s="4" t="s">
        <v>249</v>
      </c>
      <c r="I353" s="4">
        <v>2</v>
      </c>
      <c r="J353" s="4">
        <v>890</v>
      </c>
      <c r="K353" s="4">
        <v>15</v>
      </c>
      <c r="L353" s="4">
        <v>1513</v>
      </c>
      <c r="M353" s="4" t="s">
        <v>71</v>
      </c>
      <c r="N353" s="4" t="s">
        <v>64</v>
      </c>
      <c r="O353" s="4">
        <v>1</v>
      </c>
      <c r="P353" s="6">
        <f t="shared" si="40"/>
        <v>1780</v>
      </c>
      <c r="Q353" s="6">
        <f t="shared" si="41"/>
        <v>267</v>
      </c>
      <c r="R353" s="6">
        <f t="shared" si="42"/>
        <v>302.60000000000002</v>
      </c>
      <c r="S353" s="6" t="str">
        <f t="shared" si="43"/>
        <v>Mar</v>
      </c>
      <c r="T353" s="6">
        <f t="shared" si="44"/>
        <v>2024</v>
      </c>
      <c r="U353" s="6" t="str">
        <f t="shared" si="45"/>
        <v>Fast</v>
      </c>
      <c r="V353" s="6" t="str">
        <f t="shared" si="46"/>
        <v>Normal</v>
      </c>
      <c r="W353" s="6" t="str">
        <f t="shared" si="47"/>
        <v>Yes</v>
      </c>
    </row>
    <row r="354" spans="1:23" x14ac:dyDescent="0.3">
      <c r="A354" s="8" t="s">
        <v>681</v>
      </c>
      <c r="B354" s="3">
        <v>45048</v>
      </c>
      <c r="C354" s="2" t="s">
        <v>81</v>
      </c>
      <c r="D354" s="2" t="s">
        <v>82</v>
      </c>
      <c r="E354" s="2" t="s">
        <v>83</v>
      </c>
      <c r="F354" s="2" t="s">
        <v>19</v>
      </c>
      <c r="G354" s="2" t="s">
        <v>20</v>
      </c>
      <c r="H354" s="2" t="s">
        <v>202</v>
      </c>
      <c r="I354" s="2">
        <v>3</v>
      </c>
      <c r="J354" s="2">
        <v>650</v>
      </c>
      <c r="K354" s="2">
        <v>20</v>
      </c>
      <c r="L354" s="2">
        <v>1560</v>
      </c>
      <c r="M354" s="2" t="s">
        <v>143</v>
      </c>
      <c r="N354" s="2" t="s">
        <v>37</v>
      </c>
      <c r="O354" s="2">
        <v>10</v>
      </c>
      <c r="P354" s="6">
        <f t="shared" si="40"/>
        <v>1950</v>
      </c>
      <c r="Q354" s="6">
        <f t="shared" si="41"/>
        <v>390</v>
      </c>
      <c r="R354" s="6">
        <f t="shared" si="42"/>
        <v>312</v>
      </c>
      <c r="S354" s="6" t="str">
        <f t="shared" si="43"/>
        <v>May</v>
      </c>
      <c r="T354" s="6">
        <f t="shared" si="44"/>
        <v>2023</v>
      </c>
      <c r="U354" s="6" t="str">
        <f t="shared" si="45"/>
        <v>Delayed</v>
      </c>
      <c r="V354" s="6" t="str">
        <f t="shared" si="46"/>
        <v>Normal</v>
      </c>
      <c r="W354" s="6" t="str">
        <f t="shared" si="47"/>
        <v>No</v>
      </c>
    </row>
    <row r="355" spans="1:23" x14ac:dyDescent="0.3">
      <c r="A355" s="9" t="s">
        <v>682</v>
      </c>
      <c r="B355" s="5">
        <v>45309</v>
      </c>
      <c r="C355" s="4" t="s">
        <v>73</v>
      </c>
      <c r="D355" s="4" t="s">
        <v>74</v>
      </c>
      <c r="E355" s="4" t="s">
        <v>41</v>
      </c>
      <c r="F355" s="4" t="s">
        <v>19</v>
      </c>
      <c r="G355" s="4" t="s">
        <v>126</v>
      </c>
      <c r="H355" s="4" t="s">
        <v>261</v>
      </c>
      <c r="I355" s="4">
        <v>3</v>
      </c>
      <c r="J355" s="4">
        <v>9500</v>
      </c>
      <c r="K355" s="4">
        <v>15</v>
      </c>
      <c r="L355" s="4">
        <v>24225</v>
      </c>
      <c r="M355" s="4" t="s">
        <v>143</v>
      </c>
      <c r="N355" s="4" t="s">
        <v>37</v>
      </c>
      <c r="O355" s="4">
        <v>9</v>
      </c>
      <c r="P355" s="6">
        <f t="shared" si="40"/>
        <v>28500</v>
      </c>
      <c r="Q355" s="6">
        <f t="shared" si="41"/>
        <v>4275</v>
      </c>
      <c r="R355" s="6">
        <f t="shared" si="42"/>
        <v>4845</v>
      </c>
      <c r="S355" s="6" t="str">
        <f t="shared" si="43"/>
        <v>Jan</v>
      </c>
      <c r="T355" s="6">
        <f t="shared" si="44"/>
        <v>2024</v>
      </c>
      <c r="U355" s="6" t="str">
        <f t="shared" si="45"/>
        <v>Delayed</v>
      </c>
      <c r="V355" s="6" t="str">
        <f t="shared" si="46"/>
        <v>High Value</v>
      </c>
      <c r="W355" s="6" t="str">
        <f t="shared" si="47"/>
        <v>No</v>
      </c>
    </row>
    <row r="356" spans="1:23" x14ac:dyDescent="0.3">
      <c r="A356" s="8" t="s">
        <v>683</v>
      </c>
      <c r="B356" s="3">
        <v>45309</v>
      </c>
      <c r="C356" s="2" t="s">
        <v>684</v>
      </c>
      <c r="D356" s="2" t="s">
        <v>685</v>
      </c>
      <c r="E356" s="2" t="s">
        <v>154</v>
      </c>
      <c r="F356" s="2" t="s">
        <v>155</v>
      </c>
      <c r="G356" s="2" t="s">
        <v>54</v>
      </c>
      <c r="H356" s="2" t="s">
        <v>59</v>
      </c>
      <c r="I356" s="2">
        <v>1</v>
      </c>
      <c r="J356" s="2">
        <v>160</v>
      </c>
      <c r="K356" s="2">
        <v>0</v>
      </c>
      <c r="L356" s="2">
        <v>160</v>
      </c>
      <c r="M356" s="2" t="s">
        <v>43</v>
      </c>
      <c r="N356" s="2" t="s">
        <v>31</v>
      </c>
      <c r="O356" s="2">
        <v>2</v>
      </c>
      <c r="P356" s="6">
        <f t="shared" si="40"/>
        <v>160</v>
      </c>
      <c r="Q356" s="6">
        <f t="shared" si="41"/>
        <v>0</v>
      </c>
      <c r="R356" s="6">
        <f t="shared" si="42"/>
        <v>32</v>
      </c>
      <c r="S356" s="6" t="str">
        <f t="shared" si="43"/>
        <v>Jan</v>
      </c>
      <c r="T356" s="6">
        <f t="shared" si="44"/>
        <v>2024</v>
      </c>
      <c r="U356" s="6" t="str">
        <f t="shared" si="45"/>
        <v>Fast</v>
      </c>
      <c r="V356" s="6" t="str">
        <f t="shared" si="46"/>
        <v>Normal</v>
      </c>
      <c r="W356" s="6" t="str">
        <f t="shared" si="47"/>
        <v>No</v>
      </c>
    </row>
    <row r="357" spans="1:23" x14ac:dyDescent="0.3">
      <c r="A357" s="9" t="s">
        <v>686</v>
      </c>
      <c r="B357" s="5">
        <v>45418</v>
      </c>
      <c r="C357" s="4" t="s">
        <v>169</v>
      </c>
      <c r="D357" s="4" t="s">
        <v>170</v>
      </c>
      <c r="E357" s="4" t="s">
        <v>171</v>
      </c>
      <c r="F357" s="4" t="s">
        <v>19</v>
      </c>
      <c r="G357" s="4" t="s">
        <v>91</v>
      </c>
      <c r="H357" s="4" t="s">
        <v>291</v>
      </c>
      <c r="I357" s="4">
        <v>2</v>
      </c>
      <c r="J357" s="4">
        <v>45000</v>
      </c>
      <c r="K357" s="4">
        <v>0</v>
      </c>
      <c r="L357" s="4">
        <v>90000</v>
      </c>
      <c r="M357" s="4" t="s">
        <v>22</v>
      </c>
      <c r="N357" s="4" t="s">
        <v>31</v>
      </c>
      <c r="O357" s="4">
        <v>1</v>
      </c>
      <c r="P357" s="6">
        <f t="shared" si="40"/>
        <v>90000</v>
      </c>
      <c r="Q357" s="6">
        <f t="shared" si="41"/>
        <v>0</v>
      </c>
      <c r="R357" s="6">
        <f t="shared" si="42"/>
        <v>18000</v>
      </c>
      <c r="S357" s="6" t="str">
        <f t="shared" si="43"/>
        <v>May</v>
      </c>
      <c r="T357" s="6">
        <f t="shared" si="44"/>
        <v>2024</v>
      </c>
      <c r="U357" s="6" t="str">
        <f t="shared" si="45"/>
        <v>Fast</v>
      </c>
      <c r="V357" s="6" t="str">
        <f t="shared" si="46"/>
        <v>High Value</v>
      </c>
      <c r="W357" s="6" t="str">
        <f t="shared" si="47"/>
        <v>No</v>
      </c>
    </row>
    <row r="358" spans="1:23" x14ac:dyDescent="0.3">
      <c r="A358" s="8" t="s">
        <v>687</v>
      </c>
      <c r="B358" s="3">
        <v>45123</v>
      </c>
      <c r="C358" s="2" t="s">
        <v>318</v>
      </c>
      <c r="D358" s="2" t="s">
        <v>319</v>
      </c>
      <c r="E358" s="2" t="s">
        <v>270</v>
      </c>
      <c r="F358" s="2" t="s">
        <v>19</v>
      </c>
      <c r="G358" s="2" t="s">
        <v>47</v>
      </c>
      <c r="H358" s="2" t="s">
        <v>443</v>
      </c>
      <c r="I358" s="2">
        <v>1</v>
      </c>
      <c r="J358" s="2">
        <v>350</v>
      </c>
      <c r="K358" s="2">
        <v>15</v>
      </c>
      <c r="L358" s="2">
        <v>297.5</v>
      </c>
      <c r="M358" s="2" t="s">
        <v>143</v>
      </c>
      <c r="N358" s="2" t="s">
        <v>37</v>
      </c>
      <c r="O358" s="2">
        <v>2</v>
      </c>
      <c r="P358" s="6">
        <f t="shared" si="40"/>
        <v>350</v>
      </c>
      <c r="Q358" s="6">
        <f t="shared" si="41"/>
        <v>52.5</v>
      </c>
      <c r="R358" s="6">
        <f t="shared" si="42"/>
        <v>59.5</v>
      </c>
      <c r="S358" s="6" t="str">
        <f t="shared" si="43"/>
        <v>Jul</v>
      </c>
      <c r="T358" s="6">
        <f t="shared" si="44"/>
        <v>2023</v>
      </c>
      <c r="U358" s="6" t="str">
        <f t="shared" si="45"/>
        <v>Fast</v>
      </c>
      <c r="V358" s="6" t="str">
        <f t="shared" si="46"/>
        <v>Normal</v>
      </c>
      <c r="W358" s="6" t="str">
        <f t="shared" si="47"/>
        <v>Yes</v>
      </c>
    </row>
    <row r="359" spans="1:23" x14ac:dyDescent="0.3">
      <c r="A359" s="9" t="s">
        <v>688</v>
      </c>
      <c r="B359" s="5">
        <v>45333</v>
      </c>
      <c r="C359" s="4" t="s">
        <v>314</v>
      </c>
      <c r="D359" s="4" t="s">
        <v>315</v>
      </c>
      <c r="E359" s="4" t="s">
        <v>260</v>
      </c>
      <c r="F359" s="4" t="s">
        <v>19</v>
      </c>
      <c r="G359" s="4" t="s">
        <v>47</v>
      </c>
      <c r="H359" s="4" t="s">
        <v>443</v>
      </c>
      <c r="I359" s="4">
        <v>4</v>
      </c>
      <c r="J359" s="4">
        <v>350</v>
      </c>
      <c r="K359" s="4">
        <v>15</v>
      </c>
      <c r="L359" s="4">
        <v>1190</v>
      </c>
      <c r="M359" s="4" t="s">
        <v>143</v>
      </c>
      <c r="N359" s="4" t="s">
        <v>37</v>
      </c>
      <c r="O359" s="4">
        <v>10</v>
      </c>
      <c r="P359" s="6">
        <f t="shared" si="40"/>
        <v>1400</v>
      </c>
      <c r="Q359" s="6">
        <f t="shared" si="41"/>
        <v>210</v>
      </c>
      <c r="R359" s="6">
        <f t="shared" si="42"/>
        <v>238</v>
      </c>
      <c r="S359" s="6" t="str">
        <f t="shared" si="43"/>
        <v>Feb</v>
      </c>
      <c r="T359" s="6">
        <f t="shared" si="44"/>
        <v>2024</v>
      </c>
      <c r="U359" s="6" t="str">
        <f t="shared" si="45"/>
        <v>Delayed</v>
      </c>
      <c r="V359" s="6" t="str">
        <f t="shared" si="46"/>
        <v>Normal</v>
      </c>
      <c r="W359" s="6" t="str">
        <f t="shared" si="47"/>
        <v>Yes</v>
      </c>
    </row>
    <row r="360" spans="1:23" x14ac:dyDescent="0.3">
      <c r="A360" s="8" t="s">
        <v>689</v>
      </c>
      <c r="B360" s="3">
        <v>45202</v>
      </c>
      <c r="C360" s="2" t="s">
        <v>109</v>
      </c>
      <c r="D360" s="2" t="s">
        <v>110</v>
      </c>
      <c r="E360" s="2" t="s">
        <v>52</v>
      </c>
      <c r="F360" s="2" t="s">
        <v>53</v>
      </c>
      <c r="G360" s="2" t="s">
        <v>126</v>
      </c>
      <c r="H360" s="2" t="s">
        <v>308</v>
      </c>
      <c r="I360" s="2">
        <v>1</v>
      </c>
      <c r="J360" s="2">
        <v>1500</v>
      </c>
      <c r="K360" s="2">
        <v>5</v>
      </c>
      <c r="L360" s="2">
        <v>1425</v>
      </c>
      <c r="M360" s="2" t="s">
        <v>30</v>
      </c>
      <c r="N360" s="2" t="s">
        <v>37</v>
      </c>
      <c r="O360" s="2">
        <v>6</v>
      </c>
      <c r="P360" s="6">
        <f t="shared" si="40"/>
        <v>1500</v>
      </c>
      <c r="Q360" s="6">
        <f t="shared" si="41"/>
        <v>75</v>
      </c>
      <c r="R360" s="6">
        <f t="shared" si="42"/>
        <v>285</v>
      </c>
      <c r="S360" s="6" t="str">
        <f t="shared" si="43"/>
        <v>Oct</v>
      </c>
      <c r="T360" s="6">
        <f t="shared" si="44"/>
        <v>2023</v>
      </c>
      <c r="U360" s="6" t="str">
        <f t="shared" si="45"/>
        <v>Delayed</v>
      </c>
      <c r="V360" s="6" t="str">
        <f t="shared" si="46"/>
        <v>Normal</v>
      </c>
      <c r="W360" s="6" t="str">
        <f t="shared" si="47"/>
        <v>No</v>
      </c>
    </row>
    <row r="361" spans="1:23" x14ac:dyDescent="0.3">
      <c r="A361" s="9" t="s">
        <v>690</v>
      </c>
      <c r="B361" s="5">
        <v>45179</v>
      </c>
      <c r="C361" s="4" t="s">
        <v>289</v>
      </c>
      <c r="D361" s="4" t="s">
        <v>290</v>
      </c>
      <c r="E361" s="4" t="s">
        <v>41</v>
      </c>
      <c r="F361" s="4" t="s">
        <v>19</v>
      </c>
      <c r="G361" s="4" t="s">
        <v>47</v>
      </c>
      <c r="H361" s="4" t="s">
        <v>48</v>
      </c>
      <c r="I361" s="4">
        <v>2</v>
      </c>
      <c r="J361" s="4">
        <v>320</v>
      </c>
      <c r="K361" s="4">
        <v>5</v>
      </c>
      <c r="L361" s="4">
        <v>608</v>
      </c>
      <c r="M361" s="4" t="s">
        <v>143</v>
      </c>
      <c r="N361" s="4" t="s">
        <v>23</v>
      </c>
      <c r="O361" s="4">
        <v>0</v>
      </c>
      <c r="P361" s="6">
        <f t="shared" si="40"/>
        <v>640</v>
      </c>
      <c r="Q361" s="6">
        <f t="shared" si="41"/>
        <v>32</v>
      </c>
      <c r="R361" s="6">
        <f t="shared" si="42"/>
        <v>121.60000000000001</v>
      </c>
      <c r="S361" s="6" t="str">
        <f t="shared" si="43"/>
        <v>Sep</v>
      </c>
      <c r="T361" s="6">
        <f t="shared" si="44"/>
        <v>2023</v>
      </c>
      <c r="U361" s="6" t="str">
        <f t="shared" si="45"/>
        <v>Fast</v>
      </c>
      <c r="V361" s="6" t="str">
        <f t="shared" si="46"/>
        <v>Normal</v>
      </c>
      <c r="W361" s="6" t="str">
        <f t="shared" si="47"/>
        <v>Yes</v>
      </c>
    </row>
    <row r="362" spans="1:23" x14ac:dyDescent="0.3">
      <c r="A362" s="8" t="s">
        <v>691</v>
      </c>
      <c r="B362" s="3">
        <v>45084</v>
      </c>
      <c r="C362" s="2" t="s">
        <v>618</v>
      </c>
      <c r="D362" s="2" t="s">
        <v>619</v>
      </c>
      <c r="E362" s="2" t="s">
        <v>230</v>
      </c>
      <c r="F362" s="2" t="s">
        <v>19</v>
      </c>
      <c r="G362" s="2" t="s">
        <v>54</v>
      </c>
      <c r="H362" s="2" t="s">
        <v>84</v>
      </c>
      <c r="I362" s="2">
        <v>4</v>
      </c>
      <c r="J362" s="2">
        <v>280</v>
      </c>
      <c r="K362" s="2">
        <v>5</v>
      </c>
      <c r="L362" s="2">
        <v>1064</v>
      </c>
      <c r="M362" s="2" t="s">
        <v>143</v>
      </c>
      <c r="N362" s="2" t="s">
        <v>31</v>
      </c>
      <c r="O362" s="2">
        <v>2</v>
      </c>
      <c r="P362" s="6">
        <f t="shared" si="40"/>
        <v>1120</v>
      </c>
      <c r="Q362" s="6">
        <f t="shared" si="41"/>
        <v>56</v>
      </c>
      <c r="R362" s="6">
        <f t="shared" si="42"/>
        <v>212.8</v>
      </c>
      <c r="S362" s="6" t="str">
        <f t="shared" si="43"/>
        <v>Jun</v>
      </c>
      <c r="T362" s="6">
        <f t="shared" si="44"/>
        <v>2023</v>
      </c>
      <c r="U362" s="6" t="str">
        <f t="shared" si="45"/>
        <v>Fast</v>
      </c>
      <c r="V362" s="6" t="str">
        <f t="shared" si="46"/>
        <v>Normal</v>
      </c>
      <c r="W362" s="6" t="str">
        <f t="shared" si="47"/>
        <v>No</v>
      </c>
    </row>
    <row r="363" spans="1:23" x14ac:dyDescent="0.3">
      <c r="A363" s="9" t="s">
        <v>692</v>
      </c>
      <c r="B363" s="5">
        <v>45095</v>
      </c>
      <c r="C363" s="4" t="s">
        <v>529</v>
      </c>
      <c r="D363" s="4" t="s">
        <v>530</v>
      </c>
      <c r="E363" s="4" t="s">
        <v>137</v>
      </c>
      <c r="F363" s="4" t="s">
        <v>19</v>
      </c>
      <c r="G363" s="4" t="s">
        <v>54</v>
      </c>
      <c r="H363" s="4" t="s">
        <v>55</v>
      </c>
      <c r="I363" s="4">
        <v>1</v>
      </c>
      <c r="J363" s="4">
        <v>180</v>
      </c>
      <c r="K363" s="4">
        <v>20</v>
      </c>
      <c r="L363" s="4">
        <v>144</v>
      </c>
      <c r="M363" s="4" t="s">
        <v>43</v>
      </c>
      <c r="N363" s="4" t="s">
        <v>37</v>
      </c>
      <c r="O363" s="4">
        <v>4</v>
      </c>
      <c r="P363" s="6">
        <f t="shared" si="40"/>
        <v>180</v>
      </c>
      <c r="Q363" s="6">
        <f t="shared" si="41"/>
        <v>36</v>
      </c>
      <c r="R363" s="6">
        <f t="shared" si="42"/>
        <v>28.8</v>
      </c>
      <c r="S363" s="6" t="str">
        <f t="shared" si="43"/>
        <v>Jun</v>
      </c>
      <c r="T363" s="6">
        <f t="shared" si="44"/>
        <v>2023</v>
      </c>
      <c r="U363" s="6" t="str">
        <f t="shared" si="45"/>
        <v>Delayed</v>
      </c>
      <c r="V363" s="6" t="str">
        <f t="shared" si="46"/>
        <v>Normal</v>
      </c>
      <c r="W363" s="6" t="str">
        <f t="shared" si="47"/>
        <v>Yes</v>
      </c>
    </row>
    <row r="364" spans="1:23" x14ac:dyDescent="0.3">
      <c r="A364" s="8" t="s">
        <v>693</v>
      </c>
      <c r="B364" s="3">
        <v>44943</v>
      </c>
      <c r="C364" s="2" t="s">
        <v>251</v>
      </c>
      <c r="D364" s="2" t="s">
        <v>252</v>
      </c>
      <c r="E364" s="2" t="s">
        <v>253</v>
      </c>
      <c r="F364" s="2" t="s">
        <v>155</v>
      </c>
      <c r="G364" s="2" t="s">
        <v>91</v>
      </c>
      <c r="H364" s="2" t="s">
        <v>291</v>
      </c>
      <c r="I364" s="2">
        <v>4</v>
      </c>
      <c r="J364" s="2">
        <v>45000</v>
      </c>
      <c r="K364" s="2">
        <v>0</v>
      </c>
      <c r="L364" s="2">
        <v>180000</v>
      </c>
      <c r="M364" s="2" t="s">
        <v>22</v>
      </c>
      <c r="N364" s="2" t="s">
        <v>31</v>
      </c>
      <c r="O364" s="2">
        <v>4</v>
      </c>
      <c r="P364" s="6">
        <f t="shared" si="40"/>
        <v>180000</v>
      </c>
      <c r="Q364" s="6">
        <f t="shared" si="41"/>
        <v>0</v>
      </c>
      <c r="R364" s="6">
        <f t="shared" si="42"/>
        <v>36000</v>
      </c>
      <c r="S364" s="6" t="str">
        <f t="shared" si="43"/>
        <v>Jan</v>
      </c>
      <c r="T364" s="6">
        <f t="shared" si="44"/>
        <v>2023</v>
      </c>
      <c r="U364" s="6" t="str">
        <f t="shared" si="45"/>
        <v>Delayed</v>
      </c>
      <c r="V364" s="6" t="str">
        <f t="shared" si="46"/>
        <v>High Value</v>
      </c>
      <c r="W364" s="6" t="str">
        <f t="shared" si="47"/>
        <v>No</v>
      </c>
    </row>
    <row r="365" spans="1:23" x14ac:dyDescent="0.3">
      <c r="A365" s="9" t="s">
        <v>694</v>
      </c>
      <c r="B365" s="5">
        <v>45033</v>
      </c>
      <c r="C365" s="4" t="s">
        <v>318</v>
      </c>
      <c r="D365" s="4" t="s">
        <v>319</v>
      </c>
      <c r="E365" s="4" t="s">
        <v>270</v>
      </c>
      <c r="F365" s="4" t="s">
        <v>19</v>
      </c>
      <c r="G365" s="4" t="s">
        <v>54</v>
      </c>
      <c r="H365" s="4" t="s">
        <v>415</v>
      </c>
      <c r="I365" s="4">
        <v>4</v>
      </c>
      <c r="J365" s="4">
        <v>320</v>
      </c>
      <c r="K365" s="4">
        <v>15</v>
      </c>
      <c r="L365" s="4">
        <v>1088</v>
      </c>
      <c r="M365" s="4" t="s">
        <v>143</v>
      </c>
      <c r="N365" s="4" t="s">
        <v>37</v>
      </c>
      <c r="O365" s="4">
        <v>8</v>
      </c>
      <c r="P365" s="6">
        <f t="shared" si="40"/>
        <v>1280</v>
      </c>
      <c r="Q365" s="6">
        <f t="shared" si="41"/>
        <v>192</v>
      </c>
      <c r="R365" s="6">
        <f t="shared" si="42"/>
        <v>217.60000000000002</v>
      </c>
      <c r="S365" s="6" t="str">
        <f t="shared" si="43"/>
        <v>Apr</v>
      </c>
      <c r="T365" s="6">
        <f t="shared" si="44"/>
        <v>2023</v>
      </c>
      <c r="U365" s="6" t="str">
        <f t="shared" si="45"/>
        <v>Delayed</v>
      </c>
      <c r="V365" s="6" t="str">
        <f t="shared" si="46"/>
        <v>Normal</v>
      </c>
      <c r="W365" s="6" t="str">
        <f t="shared" si="47"/>
        <v>No</v>
      </c>
    </row>
    <row r="366" spans="1:23" x14ac:dyDescent="0.3">
      <c r="A366" s="8" t="s">
        <v>695</v>
      </c>
      <c r="B366" s="3">
        <v>45309</v>
      </c>
      <c r="C366" s="2" t="s">
        <v>363</v>
      </c>
      <c r="D366" s="2" t="s">
        <v>364</v>
      </c>
      <c r="E366" s="2" t="s">
        <v>265</v>
      </c>
      <c r="F366" s="2" t="s">
        <v>266</v>
      </c>
      <c r="G366" s="2" t="s">
        <v>149</v>
      </c>
      <c r="H366" s="2" t="s">
        <v>334</v>
      </c>
      <c r="I366" s="2">
        <v>4</v>
      </c>
      <c r="J366" s="2">
        <v>750</v>
      </c>
      <c r="K366" s="2">
        <v>10</v>
      </c>
      <c r="L366" s="2">
        <v>2700</v>
      </c>
      <c r="M366" s="2" t="s">
        <v>107</v>
      </c>
      <c r="N366" s="2" t="s">
        <v>37</v>
      </c>
      <c r="O366" s="2">
        <v>10</v>
      </c>
      <c r="P366" s="6">
        <f t="shared" si="40"/>
        <v>3000</v>
      </c>
      <c r="Q366" s="6">
        <f t="shared" si="41"/>
        <v>300</v>
      </c>
      <c r="R366" s="6">
        <f t="shared" si="42"/>
        <v>540</v>
      </c>
      <c r="S366" s="6" t="str">
        <f t="shared" si="43"/>
        <v>Jan</v>
      </c>
      <c r="T366" s="6">
        <f t="shared" si="44"/>
        <v>2024</v>
      </c>
      <c r="U366" s="6" t="str">
        <f t="shared" si="45"/>
        <v>Delayed</v>
      </c>
      <c r="V366" s="6" t="str">
        <f t="shared" si="46"/>
        <v>Normal</v>
      </c>
      <c r="W366" s="6" t="str">
        <f t="shared" si="47"/>
        <v>No</v>
      </c>
    </row>
    <row r="367" spans="1:23" x14ac:dyDescent="0.3">
      <c r="A367" s="9" t="s">
        <v>696</v>
      </c>
      <c r="B367" s="5">
        <v>45090</v>
      </c>
      <c r="C367" s="4" t="s">
        <v>394</v>
      </c>
      <c r="D367" s="4" t="s">
        <v>395</v>
      </c>
      <c r="E367" s="4" t="s">
        <v>83</v>
      </c>
      <c r="F367" s="4" t="s">
        <v>19</v>
      </c>
      <c r="G367" s="4" t="s">
        <v>149</v>
      </c>
      <c r="H367" s="4" t="s">
        <v>182</v>
      </c>
      <c r="I367" s="4">
        <v>3</v>
      </c>
      <c r="J367" s="4">
        <v>180</v>
      </c>
      <c r="K367" s="4">
        <v>0</v>
      </c>
      <c r="L367" s="4">
        <v>540</v>
      </c>
      <c r="M367" s="4" t="s">
        <v>71</v>
      </c>
      <c r="N367" s="4" t="s">
        <v>37</v>
      </c>
      <c r="O367" s="4">
        <v>6</v>
      </c>
      <c r="P367" s="6">
        <f t="shared" si="40"/>
        <v>540</v>
      </c>
      <c r="Q367" s="6">
        <f t="shared" si="41"/>
        <v>0</v>
      </c>
      <c r="R367" s="6">
        <f t="shared" si="42"/>
        <v>108</v>
      </c>
      <c r="S367" s="6" t="str">
        <f t="shared" si="43"/>
        <v>Jun</v>
      </c>
      <c r="T367" s="6">
        <f t="shared" si="44"/>
        <v>2023</v>
      </c>
      <c r="U367" s="6" t="str">
        <f t="shared" si="45"/>
        <v>Delayed</v>
      </c>
      <c r="V367" s="6" t="str">
        <f t="shared" si="46"/>
        <v>Normal</v>
      </c>
      <c r="W367" s="6" t="str">
        <f t="shared" si="47"/>
        <v>No</v>
      </c>
    </row>
    <row r="368" spans="1:23" x14ac:dyDescent="0.3">
      <c r="A368" s="8" t="s">
        <v>697</v>
      </c>
      <c r="B368" s="3">
        <v>45114</v>
      </c>
      <c r="C368" s="2" t="s">
        <v>310</v>
      </c>
      <c r="D368" s="2" t="s">
        <v>311</v>
      </c>
      <c r="E368" s="2" t="s">
        <v>253</v>
      </c>
      <c r="F368" s="2" t="s">
        <v>155</v>
      </c>
      <c r="G368" s="2" t="s">
        <v>126</v>
      </c>
      <c r="H368" s="2" t="s">
        <v>222</v>
      </c>
      <c r="I368" s="2">
        <v>3</v>
      </c>
      <c r="J368" s="2">
        <v>650</v>
      </c>
      <c r="K368" s="2">
        <v>10</v>
      </c>
      <c r="L368" s="2">
        <v>1755</v>
      </c>
      <c r="M368" s="2" t="s">
        <v>30</v>
      </c>
      <c r="N368" s="2" t="s">
        <v>37</v>
      </c>
      <c r="O368" s="2">
        <v>8</v>
      </c>
      <c r="P368" s="6">
        <f t="shared" si="40"/>
        <v>1950</v>
      </c>
      <c r="Q368" s="6">
        <f t="shared" si="41"/>
        <v>195</v>
      </c>
      <c r="R368" s="6">
        <f t="shared" si="42"/>
        <v>351</v>
      </c>
      <c r="S368" s="6" t="str">
        <f t="shared" si="43"/>
        <v>Jul</v>
      </c>
      <c r="T368" s="6">
        <f t="shared" si="44"/>
        <v>2023</v>
      </c>
      <c r="U368" s="6" t="str">
        <f t="shared" si="45"/>
        <v>Delayed</v>
      </c>
      <c r="V368" s="6" t="str">
        <f t="shared" si="46"/>
        <v>Normal</v>
      </c>
      <c r="W368" s="6" t="str">
        <f t="shared" si="47"/>
        <v>No</v>
      </c>
    </row>
    <row r="369" spans="1:23" x14ac:dyDescent="0.3">
      <c r="A369" s="9" t="s">
        <v>698</v>
      </c>
      <c r="B369" s="5">
        <v>45147</v>
      </c>
      <c r="C369" s="4" t="s">
        <v>348</v>
      </c>
      <c r="D369" s="4" t="s">
        <v>349</v>
      </c>
      <c r="E369" s="4" t="s">
        <v>171</v>
      </c>
      <c r="F369" s="4" t="s">
        <v>19</v>
      </c>
      <c r="G369" s="4" t="s">
        <v>54</v>
      </c>
      <c r="H369" s="4" t="s">
        <v>75</v>
      </c>
      <c r="I369" s="4">
        <v>4</v>
      </c>
      <c r="J369" s="4">
        <v>55</v>
      </c>
      <c r="K369" s="4">
        <v>5</v>
      </c>
      <c r="L369" s="4">
        <v>209</v>
      </c>
      <c r="M369" s="4" t="s">
        <v>107</v>
      </c>
      <c r="N369" s="4" t="s">
        <v>37</v>
      </c>
      <c r="O369" s="4">
        <v>4</v>
      </c>
      <c r="P369" s="6">
        <f t="shared" si="40"/>
        <v>220</v>
      </c>
      <c r="Q369" s="6">
        <f t="shared" si="41"/>
        <v>11</v>
      </c>
      <c r="R369" s="6">
        <f t="shared" si="42"/>
        <v>41.800000000000004</v>
      </c>
      <c r="S369" s="6" t="str">
        <f t="shared" si="43"/>
        <v>Aug</v>
      </c>
      <c r="T369" s="6">
        <f t="shared" si="44"/>
        <v>2023</v>
      </c>
      <c r="U369" s="6" t="str">
        <f t="shared" si="45"/>
        <v>Delayed</v>
      </c>
      <c r="V369" s="6" t="str">
        <f t="shared" si="46"/>
        <v>Normal</v>
      </c>
      <c r="W369" s="6" t="str">
        <f t="shared" si="47"/>
        <v>No</v>
      </c>
    </row>
    <row r="370" spans="1:23" x14ac:dyDescent="0.3">
      <c r="A370" s="8" t="s">
        <v>699</v>
      </c>
      <c r="B370" s="3">
        <v>45459</v>
      </c>
      <c r="C370" s="2" t="s">
        <v>118</v>
      </c>
      <c r="D370" s="2" t="s">
        <v>119</v>
      </c>
      <c r="E370" s="2" t="s">
        <v>35</v>
      </c>
      <c r="F370" s="2" t="s">
        <v>19</v>
      </c>
      <c r="G370" s="2" t="s">
        <v>126</v>
      </c>
      <c r="H370" s="2" t="s">
        <v>189</v>
      </c>
      <c r="I370" s="2">
        <v>2</v>
      </c>
      <c r="J370" s="2">
        <v>4500</v>
      </c>
      <c r="K370" s="2">
        <v>10</v>
      </c>
      <c r="L370" s="2">
        <v>8100</v>
      </c>
      <c r="M370" s="2" t="s">
        <v>22</v>
      </c>
      <c r="N370" s="2" t="s">
        <v>37</v>
      </c>
      <c r="O370" s="2">
        <v>5</v>
      </c>
      <c r="P370" s="6">
        <f t="shared" si="40"/>
        <v>9000</v>
      </c>
      <c r="Q370" s="6">
        <f t="shared" si="41"/>
        <v>900</v>
      </c>
      <c r="R370" s="6">
        <f t="shared" si="42"/>
        <v>1620</v>
      </c>
      <c r="S370" s="6" t="str">
        <f t="shared" si="43"/>
        <v>Jun</v>
      </c>
      <c r="T370" s="6">
        <f t="shared" si="44"/>
        <v>2024</v>
      </c>
      <c r="U370" s="6" t="str">
        <f t="shared" si="45"/>
        <v>Delayed</v>
      </c>
      <c r="V370" s="6" t="str">
        <f t="shared" si="46"/>
        <v>High Value</v>
      </c>
      <c r="W370" s="6" t="str">
        <f t="shared" si="47"/>
        <v>Yes</v>
      </c>
    </row>
    <row r="371" spans="1:23" x14ac:dyDescent="0.3">
      <c r="A371" s="9" t="s">
        <v>700</v>
      </c>
      <c r="B371" s="5">
        <v>45105</v>
      </c>
      <c r="C371" s="4" t="s">
        <v>131</v>
      </c>
      <c r="D371" s="4" t="s">
        <v>132</v>
      </c>
      <c r="E371" s="4" t="s">
        <v>133</v>
      </c>
      <c r="F371" s="4" t="s">
        <v>19</v>
      </c>
      <c r="G371" s="4" t="s">
        <v>149</v>
      </c>
      <c r="H371" s="4" t="s">
        <v>457</v>
      </c>
      <c r="I371" s="4">
        <v>4</v>
      </c>
      <c r="J371" s="4">
        <v>85</v>
      </c>
      <c r="K371" s="4">
        <v>0</v>
      </c>
      <c r="L371" s="4">
        <v>340</v>
      </c>
      <c r="M371" s="4" t="s">
        <v>71</v>
      </c>
      <c r="N371" s="4" t="s">
        <v>37</v>
      </c>
      <c r="O371" s="4">
        <v>8</v>
      </c>
      <c r="P371" s="6">
        <f t="shared" si="40"/>
        <v>340</v>
      </c>
      <c r="Q371" s="6">
        <f t="shared" si="41"/>
        <v>0</v>
      </c>
      <c r="R371" s="6">
        <f t="shared" si="42"/>
        <v>68</v>
      </c>
      <c r="S371" s="6" t="str">
        <f t="shared" si="43"/>
        <v>Jun</v>
      </c>
      <c r="T371" s="6">
        <f t="shared" si="44"/>
        <v>2023</v>
      </c>
      <c r="U371" s="6" t="str">
        <f t="shared" si="45"/>
        <v>Delayed</v>
      </c>
      <c r="V371" s="6" t="str">
        <f t="shared" si="46"/>
        <v>Normal</v>
      </c>
      <c r="W371" s="6" t="str">
        <f t="shared" si="47"/>
        <v>No</v>
      </c>
    </row>
    <row r="372" spans="1:23" x14ac:dyDescent="0.3">
      <c r="A372" s="8" t="s">
        <v>701</v>
      </c>
      <c r="B372" s="3">
        <v>45129</v>
      </c>
      <c r="C372" s="2" t="s">
        <v>386</v>
      </c>
      <c r="D372" s="2" t="s">
        <v>387</v>
      </c>
      <c r="E372" s="2" t="s">
        <v>260</v>
      </c>
      <c r="F372" s="2" t="s">
        <v>19</v>
      </c>
      <c r="G372" s="2" t="s">
        <v>47</v>
      </c>
      <c r="H372" s="2" t="s">
        <v>96</v>
      </c>
      <c r="I372" s="2">
        <v>3</v>
      </c>
      <c r="J372" s="2">
        <v>380</v>
      </c>
      <c r="K372" s="2">
        <v>5</v>
      </c>
      <c r="L372" s="2">
        <v>1083</v>
      </c>
      <c r="M372" s="2" t="s">
        <v>71</v>
      </c>
      <c r="N372" s="2" t="s">
        <v>64</v>
      </c>
      <c r="O372" s="2">
        <v>3</v>
      </c>
      <c r="P372" s="6">
        <f t="shared" si="40"/>
        <v>1140</v>
      </c>
      <c r="Q372" s="6">
        <f t="shared" si="41"/>
        <v>57</v>
      </c>
      <c r="R372" s="6">
        <f t="shared" si="42"/>
        <v>216.60000000000002</v>
      </c>
      <c r="S372" s="6" t="str">
        <f t="shared" si="43"/>
        <v>Jul</v>
      </c>
      <c r="T372" s="6">
        <f t="shared" si="44"/>
        <v>2023</v>
      </c>
      <c r="U372" s="6" t="str">
        <f t="shared" si="45"/>
        <v>Fast</v>
      </c>
      <c r="V372" s="6" t="str">
        <f t="shared" si="46"/>
        <v>Normal</v>
      </c>
      <c r="W372" s="6" t="str">
        <f t="shared" si="47"/>
        <v>Yes</v>
      </c>
    </row>
    <row r="373" spans="1:23" x14ac:dyDescent="0.3">
      <c r="A373" s="9" t="s">
        <v>702</v>
      </c>
      <c r="B373" s="5">
        <v>44950</v>
      </c>
      <c r="C373" s="4" t="s">
        <v>109</v>
      </c>
      <c r="D373" s="4" t="s">
        <v>110</v>
      </c>
      <c r="E373" s="4" t="s">
        <v>52</v>
      </c>
      <c r="F373" s="4" t="s">
        <v>53</v>
      </c>
      <c r="G373" s="4" t="s">
        <v>20</v>
      </c>
      <c r="H373" s="4" t="s">
        <v>63</v>
      </c>
      <c r="I373" s="4">
        <v>1</v>
      </c>
      <c r="J373" s="4">
        <v>2800</v>
      </c>
      <c r="K373" s="4">
        <v>15</v>
      </c>
      <c r="L373" s="4">
        <v>2380</v>
      </c>
      <c r="M373" s="4" t="s">
        <v>71</v>
      </c>
      <c r="N373" s="4" t="s">
        <v>64</v>
      </c>
      <c r="O373" s="4">
        <v>1</v>
      </c>
      <c r="P373" s="6">
        <f t="shared" si="40"/>
        <v>2800</v>
      </c>
      <c r="Q373" s="6">
        <f t="shared" si="41"/>
        <v>420</v>
      </c>
      <c r="R373" s="6">
        <f t="shared" si="42"/>
        <v>476</v>
      </c>
      <c r="S373" s="6" t="str">
        <f t="shared" si="43"/>
        <v>Jan</v>
      </c>
      <c r="T373" s="6">
        <f t="shared" si="44"/>
        <v>2023</v>
      </c>
      <c r="U373" s="6" t="str">
        <f t="shared" si="45"/>
        <v>Fast</v>
      </c>
      <c r="V373" s="6" t="str">
        <f t="shared" si="46"/>
        <v>Normal</v>
      </c>
      <c r="W373" s="6" t="str">
        <f t="shared" si="47"/>
        <v>No</v>
      </c>
    </row>
    <row r="374" spans="1:23" x14ac:dyDescent="0.3">
      <c r="A374" s="8" t="s">
        <v>703</v>
      </c>
      <c r="B374" s="3">
        <v>45278</v>
      </c>
      <c r="C374" s="2" t="s">
        <v>118</v>
      </c>
      <c r="D374" s="2" t="s">
        <v>119</v>
      </c>
      <c r="E374" s="2" t="s">
        <v>35</v>
      </c>
      <c r="F374" s="2" t="s">
        <v>19</v>
      </c>
      <c r="G374" s="2" t="s">
        <v>69</v>
      </c>
      <c r="H374" s="2" t="s">
        <v>70</v>
      </c>
      <c r="I374" s="2">
        <v>2</v>
      </c>
      <c r="J374" s="2">
        <v>850</v>
      </c>
      <c r="K374" s="2">
        <v>5</v>
      </c>
      <c r="L374" s="2">
        <v>1615</v>
      </c>
      <c r="M374" s="2" t="s">
        <v>43</v>
      </c>
      <c r="N374" s="2" t="s">
        <v>31</v>
      </c>
      <c r="O374" s="2">
        <v>1</v>
      </c>
      <c r="P374" s="6">
        <f t="shared" si="40"/>
        <v>1700</v>
      </c>
      <c r="Q374" s="6">
        <f t="shared" si="41"/>
        <v>85</v>
      </c>
      <c r="R374" s="6">
        <f t="shared" si="42"/>
        <v>323</v>
      </c>
      <c r="S374" s="6" t="str">
        <f t="shared" si="43"/>
        <v>Dec</v>
      </c>
      <c r="T374" s="6">
        <f t="shared" si="44"/>
        <v>2023</v>
      </c>
      <c r="U374" s="6" t="str">
        <f t="shared" si="45"/>
        <v>Fast</v>
      </c>
      <c r="V374" s="6" t="str">
        <f t="shared" si="46"/>
        <v>Normal</v>
      </c>
      <c r="W374" s="6" t="str">
        <f t="shared" si="47"/>
        <v>No</v>
      </c>
    </row>
    <row r="375" spans="1:23" x14ac:dyDescent="0.3">
      <c r="A375" s="9" t="s">
        <v>704</v>
      </c>
      <c r="B375" s="5">
        <v>45023</v>
      </c>
      <c r="C375" s="4" t="s">
        <v>613</v>
      </c>
      <c r="D375" s="4" t="s">
        <v>614</v>
      </c>
      <c r="E375" s="4" t="s">
        <v>154</v>
      </c>
      <c r="F375" s="4" t="s">
        <v>155</v>
      </c>
      <c r="G375" s="4" t="s">
        <v>91</v>
      </c>
      <c r="H375" s="4" t="s">
        <v>359</v>
      </c>
      <c r="I375" s="4">
        <v>2</v>
      </c>
      <c r="J375" s="4">
        <v>8000</v>
      </c>
      <c r="K375" s="4">
        <v>10</v>
      </c>
      <c r="L375" s="4">
        <v>14400</v>
      </c>
      <c r="M375" s="4" t="s">
        <v>30</v>
      </c>
      <c r="N375" s="4" t="s">
        <v>31</v>
      </c>
      <c r="O375" s="4">
        <v>2</v>
      </c>
      <c r="P375" s="6">
        <f t="shared" si="40"/>
        <v>16000</v>
      </c>
      <c r="Q375" s="6">
        <f t="shared" si="41"/>
        <v>1600</v>
      </c>
      <c r="R375" s="6">
        <f t="shared" si="42"/>
        <v>2880</v>
      </c>
      <c r="S375" s="6" t="str">
        <f t="shared" si="43"/>
        <v>Apr</v>
      </c>
      <c r="T375" s="6">
        <f t="shared" si="44"/>
        <v>2023</v>
      </c>
      <c r="U375" s="6" t="str">
        <f t="shared" si="45"/>
        <v>Fast</v>
      </c>
      <c r="V375" s="6" t="str">
        <f t="shared" si="46"/>
        <v>High Value</v>
      </c>
      <c r="W375" s="6" t="str">
        <f t="shared" si="47"/>
        <v>No</v>
      </c>
    </row>
    <row r="376" spans="1:23" x14ac:dyDescent="0.3">
      <c r="A376" s="8" t="s">
        <v>705</v>
      </c>
      <c r="B376" s="3">
        <v>45275</v>
      </c>
      <c r="C376" s="2" t="s">
        <v>204</v>
      </c>
      <c r="D376" s="2" t="s">
        <v>205</v>
      </c>
      <c r="E376" s="2" t="s">
        <v>35</v>
      </c>
      <c r="F376" s="2" t="s">
        <v>19</v>
      </c>
      <c r="G376" s="2" t="s">
        <v>91</v>
      </c>
      <c r="H376" s="2" t="s">
        <v>120</v>
      </c>
      <c r="I376" s="2">
        <v>1</v>
      </c>
      <c r="J376" s="2">
        <v>22000</v>
      </c>
      <c r="K376" s="2">
        <v>0</v>
      </c>
      <c r="L376" s="2">
        <v>22000</v>
      </c>
      <c r="M376" s="2" t="s">
        <v>22</v>
      </c>
      <c r="N376" s="2" t="s">
        <v>23</v>
      </c>
      <c r="O376" s="2">
        <v>0</v>
      </c>
      <c r="P376" s="6">
        <f t="shared" si="40"/>
        <v>22000</v>
      </c>
      <c r="Q376" s="6">
        <f t="shared" si="41"/>
        <v>0</v>
      </c>
      <c r="R376" s="6">
        <f t="shared" si="42"/>
        <v>4400</v>
      </c>
      <c r="S376" s="6" t="str">
        <f t="shared" si="43"/>
        <v>Dec</v>
      </c>
      <c r="T376" s="6">
        <f t="shared" si="44"/>
        <v>2023</v>
      </c>
      <c r="U376" s="6" t="str">
        <f t="shared" si="45"/>
        <v>Fast</v>
      </c>
      <c r="V376" s="6" t="str">
        <f t="shared" si="46"/>
        <v>High Value</v>
      </c>
      <c r="W376" s="6" t="str">
        <f t="shared" si="47"/>
        <v>No</v>
      </c>
    </row>
    <row r="377" spans="1:23" x14ac:dyDescent="0.3">
      <c r="A377" s="9" t="s">
        <v>706</v>
      </c>
      <c r="B377" s="5">
        <v>44933</v>
      </c>
      <c r="C377" s="4" t="s">
        <v>228</v>
      </c>
      <c r="D377" s="4" t="s">
        <v>229</v>
      </c>
      <c r="E377" s="4" t="s">
        <v>230</v>
      </c>
      <c r="F377" s="4" t="s">
        <v>19</v>
      </c>
      <c r="G377" s="4" t="s">
        <v>47</v>
      </c>
      <c r="H377" s="4" t="s">
        <v>138</v>
      </c>
      <c r="I377" s="4">
        <v>4</v>
      </c>
      <c r="J377" s="4">
        <v>280</v>
      </c>
      <c r="K377" s="4">
        <v>0</v>
      </c>
      <c r="L377" s="4">
        <v>1120</v>
      </c>
      <c r="M377" s="4" t="s">
        <v>43</v>
      </c>
      <c r="N377" s="4" t="s">
        <v>37</v>
      </c>
      <c r="O377" s="4">
        <v>10</v>
      </c>
      <c r="P377" s="6">
        <f t="shared" si="40"/>
        <v>1120</v>
      </c>
      <c r="Q377" s="6">
        <f t="shared" si="41"/>
        <v>0</v>
      </c>
      <c r="R377" s="6">
        <f t="shared" si="42"/>
        <v>224</v>
      </c>
      <c r="S377" s="6" t="str">
        <f t="shared" si="43"/>
        <v>Jan</v>
      </c>
      <c r="T377" s="6">
        <f t="shared" si="44"/>
        <v>2023</v>
      </c>
      <c r="U377" s="6" t="str">
        <f t="shared" si="45"/>
        <v>Delayed</v>
      </c>
      <c r="V377" s="6" t="str">
        <f t="shared" si="46"/>
        <v>Normal</v>
      </c>
      <c r="W377" s="6" t="str">
        <f t="shared" si="47"/>
        <v>Yes</v>
      </c>
    </row>
    <row r="378" spans="1:23" x14ac:dyDescent="0.3">
      <c r="A378" s="8" t="s">
        <v>707</v>
      </c>
      <c r="B378" s="3">
        <v>45001</v>
      </c>
      <c r="C378" s="2" t="s">
        <v>618</v>
      </c>
      <c r="D378" s="2" t="s">
        <v>619</v>
      </c>
      <c r="E378" s="2" t="s">
        <v>230</v>
      </c>
      <c r="F378" s="2" t="s">
        <v>19</v>
      </c>
      <c r="G378" s="2" t="s">
        <v>126</v>
      </c>
      <c r="H378" s="2" t="s">
        <v>337</v>
      </c>
      <c r="I378" s="2">
        <v>4</v>
      </c>
      <c r="J378" s="2">
        <v>2200</v>
      </c>
      <c r="K378" s="2">
        <v>15</v>
      </c>
      <c r="L378" s="2">
        <v>7480</v>
      </c>
      <c r="M378" s="2" t="s">
        <v>71</v>
      </c>
      <c r="N378" s="2" t="s">
        <v>37</v>
      </c>
      <c r="O378" s="2">
        <v>6</v>
      </c>
      <c r="P378" s="6">
        <f t="shared" si="40"/>
        <v>8800</v>
      </c>
      <c r="Q378" s="6">
        <f t="shared" si="41"/>
        <v>1320</v>
      </c>
      <c r="R378" s="6">
        <f t="shared" si="42"/>
        <v>1496</v>
      </c>
      <c r="S378" s="6" t="str">
        <f t="shared" si="43"/>
        <v>Mar</v>
      </c>
      <c r="T378" s="6">
        <f t="shared" si="44"/>
        <v>2023</v>
      </c>
      <c r="U378" s="6" t="str">
        <f t="shared" si="45"/>
        <v>Delayed</v>
      </c>
      <c r="V378" s="6" t="str">
        <f t="shared" si="46"/>
        <v>High Value</v>
      </c>
      <c r="W378" s="6" t="str">
        <f t="shared" si="47"/>
        <v>No</v>
      </c>
    </row>
    <row r="379" spans="1:23" x14ac:dyDescent="0.3">
      <c r="A379" s="9" t="s">
        <v>708</v>
      </c>
      <c r="B379" s="5">
        <v>45128</v>
      </c>
      <c r="C379" s="4" t="s">
        <v>145</v>
      </c>
      <c r="D379" s="4" t="s">
        <v>146</v>
      </c>
      <c r="E379" s="4" t="s">
        <v>147</v>
      </c>
      <c r="F379" s="4" t="s">
        <v>19</v>
      </c>
      <c r="G379" s="4" t="s">
        <v>69</v>
      </c>
      <c r="H379" s="4" t="s">
        <v>142</v>
      </c>
      <c r="I379" s="4">
        <v>2</v>
      </c>
      <c r="J379" s="4">
        <v>699</v>
      </c>
      <c r="K379" s="4">
        <v>0</v>
      </c>
      <c r="L379" s="4">
        <v>1398</v>
      </c>
      <c r="M379" s="4" t="s">
        <v>22</v>
      </c>
      <c r="N379" s="4" t="s">
        <v>37</v>
      </c>
      <c r="O379" s="4">
        <v>8</v>
      </c>
      <c r="P379" s="6">
        <f t="shared" si="40"/>
        <v>1398</v>
      </c>
      <c r="Q379" s="6">
        <f t="shared" si="41"/>
        <v>0</v>
      </c>
      <c r="R379" s="6">
        <f t="shared" si="42"/>
        <v>279.60000000000002</v>
      </c>
      <c r="S379" s="6" t="str">
        <f t="shared" si="43"/>
        <v>Jul</v>
      </c>
      <c r="T379" s="6">
        <f t="shared" si="44"/>
        <v>2023</v>
      </c>
      <c r="U379" s="6" t="str">
        <f t="shared" si="45"/>
        <v>Delayed</v>
      </c>
      <c r="V379" s="6" t="str">
        <f t="shared" si="46"/>
        <v>Normal</v>
      </c>
      <c r="W379" s="6" t="str">
        <f t="shared" si="47"/>
        <v>No</v>
      </c>
    </row>
    <row r="380" spans="1:23" x14ac:dyDescent="0.3">
      <c r="A380" s="8" t="s">
        <v>709</v>
      </c>
      <c r="B380" s="3">
        <v>45436</v>
      </c>
      <c r="C380" s="2" t="s">
        <v>104</v>
      </c>
      <c r="D380" s="2" t="s">
        <v>105</v>
      </c>
      <c r="E380" s="2" t="s">
        <v>106</v>
      </c>
      <c r="F380" s="2" t="s">
        <v>19</v>
      </c>
      <c r="G380" s="2" t="s">
        <v>69</v>
      </c>
      <c r="H380" s="2" t="s">
        <v>274</v>
      </c>
      <c r="I380" s="2">
        <v>1</v>
      </c>
      <c r="J380" s="2">
        <v>1100</v>
      </c>
      <c r="K380" s="2">
        <v>5</v>
      </c>
      <c r="L380" s="2">
        <v>1045</v>
      </c>
      <c r="M380" s="2" t="s">
        <v>43</v>
      </c>
      <c r="N380" s="2" t="s">
        <v>37</v>
      </c>
      <c r="O380" s="2">
        <v>5</v>
      </c>
      <c r="P380" s="6">
        <f t="shared" si="40"/>
        <v>1100</v>
      </c>
      <c r="Q380" s="6">
        <f t="shared" si="41"/>
        <v>55</v>
      </c>
      <c r="R380" s="6">
        <f t="shared" si="42"/>
        <v>209</v>
      </c>
      <c r="S380" s="6" t="str">
        <f t="shared" si="43"/>
        <v>May</v>
      </c>
      <c r="T380" s="6">
        <f t="shared" si="44"/>
        <v>2024</v>
      </c>
      <c r="U380" s="6" t="str">
        <f t="shared" si="45"/>
        <v>Delayed</v>
      </c>
      <c r="V380" s="6" t="str">
        <f t="shared" si="46"/>
        <v>Normal</v>
      </c>
      <c r="W380" s="6" t="str">
        <f t="shared" si="47"/>
        <v>No</v>
      </c>
    </row>
    <row r="381" spans="1:23" x14ac:dyDescent="0.3">
      <c r="A381" s="9" t="s">
        <v>710</v>
      </c>
      <c r="B381" s="5">
        <v>44983</v>
      </c>
      <c r="C381" s="4" t="s">
        <v>711</v>
      </c>
      <c r="D381" s="4" t="s">
        <v>712</v>
      </c>
      <c r="E381" s="4" t="s">
        <v>52</v>
      </c>
      <c r="F381" s="4" t="s">
        <v>53</v>
      </c>
      <c r="G381" s="4" t="s">
        <v>149</v>
      </c>
      <c r="H381" s="4" t="s">
        <v>463</v>
      </c>
      <c r="I381" s="4">
        <v>3</v>
      </c>
      <c r="J381" s="4">
        <v>380</v>
      </c>
      <c r="K381" s="4">
        <v>20</v>
      </c>
      <c r="L381" s="4">
        <v>912</v>
      </c>
      <c r="M381" s="4" t="s">
        <v>107</v>
      </c>
      <c r="N381" s="4" t="s">
        <v>37</v>
      </c>
      <c r="O381" s="4">
        <v>1</v>
      </c>
      <c r="P381" s="6">
        <f t="shared" si="40"/>
        <v>1140</v>
      </c>
      <c r="Q381" s="6">
        <f t="shared" si="41"/>
        <v>228</v>
      </c>
      <c r="R381" s="6">
        <f t="shared" si="42"/>
        <v>182.4</v>
      </c>
      <c r="S381" s="6" t="str">
        <f t="shared" si="43"/>
        <v>Feb</v>
      </c>
      <c r="T381" s="6">
        <f t="shared" si="44"/>
        <v>2023</v>
      </c>
      <c r="U381" s="6" t="str">
        <f t="shared" si="45"/>
        <v>Fast</v>
      </c>
      <c r="V381" s="6" t="str">
        <f t="shared" si="46"/>
        <v>Normal</v>
      </c>
      <c r="W381" s="6" t="str">
        <f t="shared" si="47"/>
        <v>Yes</v>
      </c>
    </row>
    <row r="382" spans="1:23" x14ac:dyDescent="0.3">
      <c r="A382" s="8" t="s">
        <v>713</v>
      </c>
      <c r="B382" s="3">
        <v>45225</v>
      </c>
      <c r="C382" s="2" t="s">
        <v>684</v>
      </c>
      <c r="D382" s="2" t="s">
        <v>685</v>
      </c>
      <c r="E382" s="2" t="s">
        <v>154</v>
      </c>
      <c r="F382" s="2" t="s">
        <v>155</v>
      </c>
      <c r="G382" s="2" t="s">
        <v>28</v>
      </c>
      <c r="H382" s="2" t="s">
        <v>167</v>
      </c>
      <c r="I382" s="2">
        <v>3</v>
      </c>
      <c r="J382" s="2">
        <v>280</v>
      </c>
      <c r="K382" s="2">
        <v>5</v>
      </c>
      <c r="L382" s="2">
        <v>798</v>
      </c>
      <c r="M382" s="2" t="s">
        <v>30</v>
      </c>
      <c r="N382" s="2" t="s">
        <v>23</v>
      </c>
      <c r="O382" s="2">
        <v>0</v>
      </c>
      <c r="P382" s="6">
        <f t="shared" si="40"/>
        <v>840</v>
      </c>
      <c r="Q382" s="6">
        <f t="shared" si="41"/>
        <v>42</v>
      </c>
      <c r="R382" s="6">
        <f t="shared" si="42"/>
        <v>159.60000000000002</v>
      </c>
      <c r="S382" s="6" t="str">
        <f t="shared" si="43"/>
        <v>Oct</v>
      </c>
      <c r="T382" s="6">
        <f t="shared" si="44"/>
        <v>2023</v>
      </c>
      <c r="U382" s="6" t="str">
        <f t="shared" si="45"/>
        <v>Fast</v>
      </c>
      <c r="V382" s="6" t="str">
        <f t="shared" si="46"/>
        <v>Normal</v>
      </c>
      <c r="W382" s="6" t="str">
        <f t="shared" si="47"/>
        <v>No</v>
      </c>
    </row>
    <row r="383" spans="1:23" x14ac:dyDescent="0.3">
      <c r="A383" s="9" t="s">
        <v>714</v>
      </c>
      <c r="B383" s="5">
        <v>45460</v>
      </c>
      <c r="C383" s="4" t="s">
        <v>268</v>
      </c>
      <c r="D383" s="4" t="s">
        <v>269</v>
      </c>
      <c r="E383" s="4" t="s">
        <v>270</v>
      </c>
      <c r="F383" s="4" t="s">
        <v>19</v>
      </c>
      <c r="G383" s="4" t="s">
        <v>54</v>
      </c>
      <c r="H383" s="4" t="s">
        <v>75</v>
      </c>
      <c r="I383" s="4">
        <v>1</v>
      </c>
      <c r="J383" s="4">
        <v>55</v>
      </c>
      <c r="K383" s="4">
        <v>10</v>
      </c>
      <c r="L383" s="4">
        <v>49.5</v>
      </c>
      <c r="M383" s="4" t="s">
        <v>143</v>
      </c>
      <c r="N383" s="4" t="s">
        <v>64</v>
      </c>
      <c r="O383" s="4">
        <v>5</v>
      </c>
      <c r="P383" s="6">
        <f t="shared" si="40"/>
        <v>55</v>
      </c>
      <c r="Q383" s="6">
        <f t="shared" si="41"/>
        <v>5.5</v>
      </c>
      <c r="R383" s="6">
        <f t="shared" si="42"/>
        <v>9.9</v>
      </c>
      <c r="S383" s="6" t="str">
        <f t="shared" si="43"/>
        <v>Jun</v>
      </c>
      <c r="T383" s="6">
        <f t="shared" si="44"/>
        <v>2024</v>
      </c>
      <c r="U383" s="6" t="str">
        <f t="shared" si="45"/>
        <v>Delayed</v>
      </c>
      <c r="V383" s="6" t="str">
        <f t="shared" si="46"/>
        <v>Normal</v>
      </c>
      <c r="W383" s="6" t="str">
        <f t="shared" si="47"/>
        <v>No</v>
      </c>
    </row>
    <row r="384" spans="1:23" x14ac:dyDescent="0.3">
      <c r="A384" s="8" t="s">
        <v>715</v>
      </c>
      <c r="B384" s="3">
        <v>45017</v>
      </c>
      <c r="C384" s="2" t="s">
        <v>211</v>
      </c>
      <c r="D384" s="2" t="s">
        <v>212</v>
      </c>
      <c r="E384" s="2" t="s">
        <v>83</v>
      </c>
      <c r="F384" s="2" t="s">
        <v>19</v>
      </c>
      <c r="G384" s="2" t="s">
        <v>54</v>
      </c>
      <c r="H384" s="2" t="s">
        <v>84</v>
      </c>
      <c r="I384" s="2">
        <v>3</v>
      </c>
      <c r="J384" s="2">
        <v>280</v>
      </c>
      <c r="K384" s="2">
        <v>0</v>
      </c>
      <c r="L384" s="2">
        <v>840</v>
      </c>
      <c r="M384" s="2" t="s">
        <v>30</v>
      </c>
      <c r="N384" s="2" t="s">
        <v>37</v>
      </c>
      <c r="O384" s="2">
        <v>10</v>
      </c>
      <c r="P384" s="6">
        <f t="shared" si="40"/>
        <v>840</v>
      </c>
      <c r="Q384" s="6">
        <f t="shared" si="41"/>
        <v>0</v>
      </c>
      <c r="R384" s="6">
        <f t="shared" si="42"/>
        <v>168</v>
      </c>
      <c r="S384" s="6" t="str">
        <f t="shared" si="43"/>
        <v>Apr</v>
      </c>
      <c r="T384" s="6">
        <f t="shared" si="44"/>
        <v>2023</v>
      </c>
      <c r="U384" s="6" t="str">
        <f t="shared" si="45"/>
        <v>Delayed</v>
      </c>
      <c r="V384" s="6" t="str">
        <f t="shared" si="46"/>
        <v>Normal</v>
      </c>
      <c r="W384" s="6" t="str">
        <f t="shared" si="47"/>
        <v>Yes</v>
      </c>
    </row>
    <row r="385" spans="1:23" x14ac:dyDescent="0.3">
      <c r="A385" s="9" t="s">
        <v>716</v>
      </c>
      <c r="B385" s="5">
        <v>44973</v>
      </c>
      <c r="C385" s="4" t="s">
        <v>152</v>
      </c>
      <c r="D385" s="4" t="s">
        <v>153</v>
      </c>
      <c r="E385" s="4" t="s">
        <v>154</v>
      </c>
      <c r="F385" s="4" t="s">
        <v>155</v>
      </c>
      <c r="G385" s="4" t="s">
        <v>54</v>
      </c>
      <c r="H385" s="4" t="s">
        <v>413</v>
      </c>
      <c r="I385" s="4">
        <v>4</v>
      </c>
      <c r="J385" s="4">
        <v>350</v>
      </c>
      <c r="K385" s="4">
        <v>20</v>
      </c>
      <c r="L385" s="4">
        <v>1120</v>
      </c>
      <c r="M385" s="4" t="s">
        <v>143</v>
      </c>
      <c r="N385" s="4" t="s">
        <v>31</v>
      </c>
      <c r="O385" s="4">
        <v>5</v>
      </c>
      <c r="P385" s="6">
        <f t="shared" si="40"/>
        <v>1400</v>
      </c>
      <c r="Q385" s="6">
        <f t="shared" si="41"/>
        <v>280</v>
      </c>
      <c r="R385" s="6">
        <f t="shared" si="42"/>
        <v>224</v>
      </c>
      <c r="S385" s="6" t="str">
        <f t="shared" si="43"/>
        <v>Feb</v>
      </c>
      <c r="T385" s="6">
        <f t="shared" si="44"/>
        <v>2023</v>
      </c>
      <c r="U385" s="6" t="str">
        <f t="shared" si="45"/>
        <v>Delayed</v>
      </c>
      <c r="V385" s="6" t="str">
        <f t="shared" si="46"/>
        <v>Normal</v>
      </c>
      <c r="W385" s="6" t="str">
        <f t="shared" si="47"/>
        <v>No</v>
      </c>
    </row>
    <row r="386" spans="1:23" x14ac:dyDescent="0.3">
      <c r="A386" s="8" t="s">
        <v>717</v>
      </c>
      <c r="B386" s="3">
        <v>45258</v>
      </c>
      <c r="C386" s="2" t="s">
        <v>204</v>
      </c>
      <c r="D386" s="2" t="s">
        <v>205</v>
      </c>
      <c r="E386" s="2" t="s">
        <v>35</v>
      </c>
      <c r="F386" s="2" t="s">
        <v>19</v>
      </c>
      <c r="G386" s="2" t="s">
        <v>149</v>
      </c>
      <c r="H386" s="2" t="s">
        <v>150</v>
      </c>
      <c r="I386" s="2">
        <v>1</v>
      </c>
      <c r="J386" s="2">
        <v>520</v>
      </c>
      <c r="K386" s="2">
        <v>0</v>
      </c>
      <c r="L386" s="2">
        <v>520</v>
      </c>
      <c r="M386" s="2" t="s">
        <v>43</v>
      </c>
      <c r="N386" s="2" t="s">
        <v>64</v>
      </c>
      <c r="O386" s="2">
        <v>1</v>
      </c>
      <c r="P386" s="6">
        <f t="shared" si="40"/>
        <v>520</v>
      </c>
      <c r="Q386" s="6">
        <f t="shared" si="41"/>
        <v>0</v>
      </c>
      <c r="R386" s="6">
        <f t="shared" si="42"/>
        <v>104</v>
      </c>
      <c r="S386" s="6" t="str">
        <f t="shared" si="43"/>
        <v>Nov</v>
      </c>
      <c r="T386" s="6">
        <f t="shared" si="44"/>
        <v>2023</v>
      </c>
      <c r="U386" s="6" t="str">
        <f t="shared" si="45"/>
        <v>Fast</v>
      </c>
      <c r="V386" s="6" t="str">
        <f t="shared" si="46"/>
        <v>Normal</v>
      </c>
      <c r="W386" s="6" t="str">
        <f t="shared" si="47"/>
        <v>No</v>
      </c>
    </row>
    <row r="387" spans="1:23" x14ac:dyDescent="0.3">
      <c r="A387" s="9" t="s">
        <v>718</v>
      </c>
      <c r="B387" s="5">
        <v>45118</v>
      </c>
      <c r="C387" s="4" t="s">
        <v>719</v>
      </c>
      <c r="D387" s="4" t="s">
        <v>720</v>
      </c>
      <c r="E387" s="4" t="s">
        <v>137</v>
      </c>
      <c r="F387" s="4" t="s">
        <v>19</v>
      </c>
      <c r="G387" s="4" t="s">
        <v>126</v>
      </c>
      <c r="H387" s="4" t="s">
        <v>308</v>
      </c>
      <c r="I387" s="4">
        <v>3</v>
      </c>
      <c r="J387" s="4">
        <v>1500</v>
      </c>
      <c r="K387" s="4">
        <v>0</v>
      </c>
      <c r="L387" s="4">
        <v>4500</v>
      </c>
      <c r="M387" s="4" t="s">
        <v>22</v>
      </c>
      <c r="N387" s="4" t="s">
        <v>37</v>
      </c>
      <c r="O387" s="4">
        <v>7</v>
      </c>
      <c r="P387" s="6">
        <f t="shared" ref="P387:P450" si="48">I387*J387</f>
        <v>4500</v>
      </c>
      <c r="Q387" s="6">
        <f t="shared" ref="Q387:Q450" si="49">P387*(K387/100)</f>
        <v>0</v>
      </c>
      <c r="R387" s="6">
        <f t="shared" ref="R387:R450" si="50">L387*0.2</f>
        <v>900</v>
      </c>
      <c r="S387" s="6" t="str">
        <f t="shared" ref="S387:S450" si="51">TEXT(B387,"MMM")</f>
        <v>Jul</v>
      </c>
      <c r="T387" s="6">
        <f t="shared" ref="T387:T450" si="52">YEAR(B387)</f>
        <v>2023</v>
      </c>
      <c r="U387" s="6" t="str">
        <f t="shared" ref="U387:U450" si="53">IF(O387&lt;=3,"Fast","Delayed")</f>
        <v>Delayed</v>
      </c>
      <c r="V387" s="6" t="str">
        <f t="shared" ref="V387:V450" si="54">IF(L387&gt;5000,"High Value","Normal")</f>
        <v>Normal</v>
      </c>
      <c r="W387" s="6" t="str">
        <f t="shared" ref="W387:W450" si="55">IF(WEEKDAY(B387,2)&gt;5,"Yes","No")</f>
        <v>No</v>
      </c>
    </row>
    <row r="388" spans="1:23" x14ac:dyDescent="0.3">
      <c r="A388" s="8" t="s">
        <v>721</v>
      </c>
      <c r="B388" s="3">
        <v>45107</v>
      </c>
      <c r="C388" s="2" t="s">
        <v>563</v>
      </c>
      <c r="D388" s="2" t="s">
        <v>564</v>
      </c>
      <c r="E388" s="2" t="s">
        <v>90</v>
      </c>
      <c r="F388" s="2" t="s">
        <v>19</v>
      </c>
      <c r="G388" s="2" t="s">
        <v>69</v>
      </c>
      <c r="H388" s="2" t="s">
        <v>635</v>
      </c>
      <c r="I388" s="2">
        <v>2</v>
      </c>
      <c r="J388" s="2">
        <v>1200</v>
      </c>
      <c r="K388" s="2">
        <v>10</v>
      </c>
      <c r="L388" s="2">
        <v>2160</v>
      </c>
      <c r="M388" s="2" t="s">
        <v>143</v>
      </c>
      <c r="N388" s="2" t="s">
        <v>37</v>
      </c>
      <c r="O388" s="2">
        <v>1</v>
      </c>
      <c r="P388" s="6">
        <f t="shared" si="48"/>
        <v>2400</v>
      </c>
      <c r="Q388" s="6">
        <f t="shared" si="49"/>
        <v>240</v>
      </c>
      <c r="R388" s="6">
        <f t="shared" si="50"/>
        <v>432</v>
      </c>
      <c r="S388" s="6" t="str">
        <f t="shared" si="51"/>
        <v>Jun</v>
      </c>
      <c r="T388" s="6">
        <f t="shared" si="52"/>
        <v>2023</v>
      </c>
      <c r="U388" s="6" t="str">
        <f t="shared" si="53"/>
        <v>Fast</v>
      </c>
      <c r="V388" s="6" t="str">
        <f t="shared" si="54"/>
        <v>Normal</v>
      </c>
      <c r="W388" s="6" t="str">
        <f t="shared" si="55"/>
        <v>No</v>
      </c>
    </row>
    <row r="389" spans="1:23" x14ac:dyDescent="0.3">
      <c r="A389" s="9" t="s">
        <v>722</v>
      </c>
      <c r="B389" s="5">
        <v>45089</v>
      </c>
      <c r="C389" s="4" t="s">
        <v>584</v>
      </c>
      <c r="D389" s="4" t="s">
        <v>585</v>
      </c>
      <c r="E389" s="4" t="s">
        <v>90</v>
      </c>
      <c r="F389" s="4" t="s">
        <v>19</v>
      </c>
      <c r="G389" s="4" t="s">
        <v>20</v>
      </c>
      <c r="H389" s="4" t="s">
        <v>116</v>
      </c>
      <c r="I389" s="4">
        <v>2</v>
      </c>
      <c r="J389" s="4">
        <v>450</v>
      </c>
      <c r="K389" s="4">
        <v>0</v>
      </c>
      <c r="L389" s="4">
        <v>900</v>
      </c>
      <c r="M389" s="4" t="s">
        <v>143</v>
      </c>
      <c r="N389" s="4" t="s">
        <v>37</v>
      </c>
      <c r="O389" s="4">
        <v>6</v>
      </c>
      <c r="P389" s="6">
        <f t="shared" si="48"/>
        <v>900</v>
      </c>
      <c r="Q389" s="6">
        <f t="shared" si="49"/>
        <v>0</v>
      </c>
      <c r="R389" s="6">
        <f t="shared" si="50"/>
        <v>180</v>
      </c>
      <c r="S389" s="6" t="str">
        <f t="shared" si="51"/>
        <v>Jun</v>
      </c>
      <c r="T389" s="6">
        <f t="shared" si="52"/>
        <v>2023</v>
      </c>
      <c r="U389" s="6" t="str">
        <f t="shared" si="53"/>
        <v>Delayed</v>
      </c>
      <c r="V389" s="6" t="str">
        <f t="shared" si="54"/>
        <v>Normal</v>
      </c>
      <c r="W389" s="6" t="str">
        <f t="shared" si="55"/>
        <v>No</v>
      </c>
    </row>
    <row r="390" spans="1:23" x14ac:dyDescent="0.3">
      <c r="A390" s="8" t="s">
        <v>723</v>
      </c>
      <c r="B390" s="3">
        <v>45320</v>
      </c>
      <c r="C390" s="2" t="s">
        <v>340</v>
      </c>
      <c r="D390" s="2" t="s">
        <v>341</v>
      </c>
      <c r="E390" s="2" t="s">
        <v>253</v>
      </c>
      <c r="F390" s="2" t="s">
        <v>155</v>
      </c>
      <c r="G390" s="2" t="s">
        <v>91</v>
      </c>
      <c r="H390" s="2" t="s">
        <v>291</v>
      </c>
      <c r="I390" s="2">
        <v>4</v>
      </c>
      <c r="J390" s="2">
        <v>45000</v>
      </c>
      <c r="K390" s="2">
        <v>0</v>
      </c>
      <c r="L390" s="2">
        <v>180000</v>
      </c>
      <c r="M390" s="2" t="s">
        <v>71</v>
      </c>
      <c r="N390" s="2" t="s">
        <v>31</v>
      </c>
      <c r="O390" s="2">
        <v>5</v>
      </c>
      <c r="P390" s="6">
        <f t="shared" si="48"/>
        <v>180000</v>
      </c>
      <c r="Q390" s="6">
        <f t="shared" si="49"/>
        <v>0</v>
      </c>
      <c r="R390" s="6">
        <f t="shared" si="50"/>
        <v>36000</v>
      </c>
      <c r="S390" s="6" t="str">
        <f t="shared" si="51"/>
        <v>Jan</v>
      </c>
      <c r="T390" s="6">
        <f t="shared" si="52"/>
        <v>2024</v>
      </c>
      <c r="U390" s="6" t="str">
        <f t="shared" si="53"/>
        <v>Delayed</v>
      </c>
      <c r="V390" s="6" t="str">
        <f t="shared" si="54"/>
        <v>High Value</v>
      </c>
      <c r="W390" s="6" t="str">
        <f t="shared" si="55"/>
        <v>No</v>
      </c>
    </row>
    <row r="391" spans="1:23" x14ac:dyDescent="0.3">
      <c r="A391" s="9" t="s">
        <v>724</v>
      </c>
      <c r="B391" s="5">
        <v>45131</v>
      </c>
      <c r="C391" s="4" t="s">
        <v>465</v>
      </c>
      <c r="D391" s="4" t="s">
        <v>466</v>
      </c>
      <c r="E391" s="4" t="s">
        <v>137</v>
      </c>
      <c r="F391" s="4" t="s">
        <v>19</v>
      </c>
      <c r="G391" s="4" t="s">
        <v>54</v>
      </c>
      <c r="H391" s="4" t="s">
        <v>415</v>
      </c>
      <c r="I391" s="4">
        <v>4</v>
      </c>
      <c r="J391" s="4">
        <v>320</v>
      </c>
      <c r="K391" s="4">
        <v>0</v>
      </c>
      <c r="L391" s="4">
        <v>1280</v>
      </c>
      <c r="M391" s="4" t="s">
        <v>30</v>
      </c>
      <c r="N391" s="4" t="s">
        <v>37</v>
      </c>
      <c r="O391" s="4">
        <v>4</v>
      </c>
      <c r="P391" s="6">
        <f t="shared" si="48"/>
        <v>1280</v>
      </c>
      <c r="Q391" s="6">
        <f t="shared" si="49"/>
        <v>0</v>
      </c>
      <c r="R391" s="6">
        <f t="shared" si="50"/>
        <v>256</v>
      </c>
      <c r="S391" s="6" t="str">
        <f t="shared" si="51"/>
        <v>Jul</v>
      </c>
      <c r="T391" s="6">
        <f t="shared" si="52"/>
        <v>2023</v>
      </c>
      <c r="U391" s="6" t="str">
        <f t="shared" si="53"/>
        <v>Delayed</v>
      </c>
      <c r="V391" s="6" t="str">
        <f t="shared" si="54"/>
        <v>Normal</v>
      </c>
      <c r="W391" s="6" t="str">
        <f t="shared" si="55"/>
        <v>No</v>
      </c>
    </row>
    <row r="392" spans="1:23" x14ac:dyDescent="0.3">
      <c r="A392" s="8" t="s">
        <v>725</v>
      </c>
      <c r="B392" s="3">
        <v>45006</v>
      </c>
      <c r="C392" s="2" t="s">
        <v>421</v>
      </c>
      <c r="D392" s="2" t="s">
        <v>377</v>
      </c>
      <c r="E392" s="2" t="s">
        <v>147</v>
      </c>
      <c r="F392" s="2" t="s">
        <v>19</v>
      </c>
      <c r="G392" s="2" t="s">
        <v>91</v>
      </c>
      <c r="H392" s="2" t="s">
        <v>120</v>
      </c>
      <c r="I392" s="2">
        <v>1</v>
      </c>
      <c r="J392" s="2">
        <v>22000</v>
      </c>
      <c r="K392" s="2">
        <v>15</v>
      </c>
      <c r="L392" s="2">
        <v>18700</v>
      </c>
      <c r="M392" s="2" t="s">
        <v>30</v>
      </c>
      <c r="N392" s="2" t="s">
        <v>23</v>
      </c>
      <c r="O392" s="2">
        <v>0</v>
      </c>
      <c r="P392" s="6">
        <f t="shared" si="48"/>
        <v>22000</v>
      </c>
      <c r="Q392" s="6">
        <f t="shared" si="49"/>
        <v>3300</v>
      </c>
      <c r="R392" s="6">
        <f t="shared" si="50"/>
        <v>3740</v>
      </c>
      <c r="S392" s="6" t="str">
        <f t="shared" si="51"/>
        <v>Mar</v>
      </c>
      <c r="T392" s="6">
        <f t="shared" si="52"/>
        <v>2023</v>
      </c>
      <c r="U392" s="6" t="str">
        <f t="shared" si="53"/>
        <v>Fast</v>
      </c>
      <c r="V392" s="6" t="str">
        <f t="shared" si="54"/>
        <v>High Value</v>
      </c>
      <c r="W392" s="6" t="str">
        <f t="shared" si="55"/>
        <v>No</v>
      </c>
    </row>
    <row r="393" spans="1:23" x14ac:dyDescent="0.3">
      <c r="A393" s="9" t="s">
        <v>726</v>
      </c>
      <c r="B393" s="5">
        <v>45053</v>
      </c>
      <c r="C393" s="4" t="s">
        <v>169</v>
      </c>
      <c r="D393" s="4" t="s">
        <v>170</v>
      </c>
      <c r="E393" s="4" t="s">
        <v>171</v>
      </c>
      <c r="F393" s="4" t="s">
        <v>19</v>
      </c>
      <c r="G393" s="4" t="s">
        <v>91</v>
      </c>
      <c r="H393" s="4" t="s">
        <v>120</v>
      </c>
      <c r="I393" s="4">
        <v>2</v>
      </c>
      <c r="J393" s="4">
        <v>22000</v>
      </c>
      <c r="K393" s="4">
        <v>0</v>
      </c>
      <c r="L393" s="4">
        <v>44000</v>
      </c>
      <c r="M393" s="4" t="s">
        <v>71</v>
      </c>
      <c r="N393" s="4" t="s">
        <v>37</v>
      </c>
      <c r="O393" s="4">
        <v>6</v>
      </c>
      <c r="P393" s="6">
        <f t="shared" si="48"/>
        <v>44000</v>
      </c>
      <c r="Q393" s="6">
        <f t="shared" si="49"/>
        <v>0</v>
      </c>
      <c r="R393" s="6">
        <f t="shared" si="50"/>
        <v>8800</v>
      </c>
      <c r="S393" s="6" t="str">
        <f t="shared" si="51"/>
        <v>May</v>
      </c>
      <c r="T393" s="6">
        <f t="shared" si="52"/>
        <v>2023</v>
      </c>
      <c r="U393" s="6" t="str">
        <f t="shared" si="53"/>
        <v>Delayed</v>
      </c>
      <c r="V393" s="6" t="str">
        <f t="shared" si="54"/>
        <v>High Value</v>
      </c>
      <c r="W393" s="6" t="str">
        <f t="shared" si="55"/>
        <v>Yes</v>
      </c>
    </row>
    <row r="394" spans="1:23" x14ac:dyDescent="0.3">
      <c r="A394" s="8" t="s">
        <v>727</v>
      </c>
      <c r="B394" s="3">
        <v>45183</v>
      </c>
      <c r="C394" s="2" t="s">
        <v>61</v>
      </c>
      <c r="D394" s="2" t="s">
        <v>62</v>
      </c>
      <c r="E394" s="2" t="s">
        <v>35</v>
      </c>
      <c r="F394" s="2" t="s">
        <v>19</v>
      </c>
      <c r="G394" s="2" t="s">
        <v>54</v>
      </c>
      <c r="H394" s="2" t="s">
        <v>415</v>
      </c>
      <c r="I394" s="2">
        <v>2</v>
      </c>
      <c r="J394" s="2">
        <v>320</v>
      </c>
      <c r="K394" s="2">
        <v>5</v>
      </c>
      <c r="L394" s="2">
        <v>608</v>
      </c>
      <c r="M394" s="2" t="s">
        <v>43</v>
      </c>
      <c r="N394" s="2" t="s">
        <v>31</v>
      </c>
      <c r="O394" s="2">
        <v>1</v>
      </c>
      <c r="P394" s="6">
        <f t="shared" si="48"/>
        <v>640</v>
      </c>
      <c r="Q394" s="6">
        <f t="shared" si="49"/>
        <v>32</v>
      </c>
      <c r="R394" s="6">
        <f t="shared" si="50"/>
        <v>121.60000000000001</v>
      </c>
      <c r="S394" s="6" t="str">
        <f t="shared" si="51"/>
        <v>Sep</v>
      </c>
      <c r="T394" s="6">
        <f t="shared" si="52"/>
        <v>2023</v>
      </c>
      <c r="U394" s="6" t="str">
        <f t="shared" si="53"/>
        <v>Fast</v>
      </c>
      <c r="V394" s="6" t="str">
        <f t="shared" si="54"/>
        <v>Normal</v>
      </c>
      <c r="W394" s="6" t="str">
        <f t="shared" si="55"/>
        <v>No</v>
      </c>
    </row>
    <row r="395" spans="1:23" x14ac:dyDescent="0.3">
      <c r="A395" s="9" t="s">
        <v>728</v>
      </c>
      <c r="B395" s="5">
        <v>45126</v>
      </c>
      <c r="C395" s="4" t="s">
        <v>199</v>
      </c>
      <c r="D395" s="4" t="s">
        <v>200</v>
      </c>
      <c r="E395" s="4" t="s">
        <v>90</v>
      </c>
      <c r="F395" s="4" t="s">
        <v>19</v>
      </c>
      <c r="G395" s="4" t="s">
        <v>20</v>
      </c>
      <c r="H395" s="4" t="s">
        <v>36</v>
      </c>
      <c r="I395" s="4">
        <v>1</v>
      </c>
      <c r="J395" s="4">
        <v>1200</v>
      </c>
      <c r="K395" s="4">
        <v>10</v>
      </c>
      <c r="L395" s="4">
        <v>1080</v>
      </c>
      <c r="M395" s="4" t="s">
        <v>30</v>
      </c>
      <c r="N395" s="4" t="s">
        <v>37</v>
      </c>
      <c r="O395" s="4">
        <v>10</v>
      </c>
      <c r="P395" s="6">
        <f t="shared" si="48"/>
        <v>1200</v>
      </c>
      <c r="Q395" s="6">
        <f t="shared" si="49"/>
        <v>120</v>
      </c>
      <c r="R395" s="6">
        <f t="shared" si="50"/>
        <v>216</v>
      </c>
      <c r="S395" s="6" t="str">
        <f t="shared" si="51"/>
        <v>Jul</v>
      </c>
      <c r="T395" s="6">
        <f t="shared" si="52"/>
        <v>2023</v>
      </c>
      <c r="U395" s="6" t="str">
        <f t="shared" si="53"/>
        <v>Delayed</v>
      </c>
      <c r="V395" s="6" t="str">
        <f t="shared" si="54"/>
        <v>Normal</v>
      </c>
      <c r="W395" s="6" t="str">
        <f t="shared" si="55"/>
        <v>No</v>
      </c>
    </row>
    <row r="396" spans="1:23" x14ac:dyDescent="0.3">
      <c r="A396" s="8" t="s">
        <v>729</v>
      </c>
      <c r="B396" s="3">
        <v>45195</v>
      </c>
      <c r="C396" s="2" t="s">
        <v>104</v>
      </c>
      <c r="D396" s="2" t="s">
        <v>105</v>
      </c>
      <c r="E396" s="2" t="s">
        <v>106</v>
      </c>
      <c r="F396" s="2" t="s">
        <v>19</v>
      </c>
      <c r="G396" s="2" t="s">
        <v>126</v>
      </c>
      <c r="H396" s="2" t="s">
        <v>261</v>
      </c>
      <c r="I396" s="2">
        <v>2</v>
      </c>
      <c r="J396" s="2">
        <v>9500</v>
      </c>
      <c r="K396" s="2">
        <v>5</v>
      </c>
      <c r="L396" s="2">
        <v>18050</v>
      </c>
      <c r="M396" s="2" t="s">
        <v>43</v>
      </c>
      <c r="N396" s="2" t="s">
        <v>37</v>
      </c>
      <c r="O396" s="2">
        <v>7</v>
      </c>
      <c r="P396" s="6">
        <f t="shared" si="48"/>
        <v>19000</v>
      </c>
      <c r="Q396" s="6">
        <f t="shared" si="49"/>
        <v>950</v>
      </c>
      <c r="R396" s="6">
        <f t="shared" si="50"/>
        <v>3610</v>
      </c>
      <c r="S396" s="6" t="str">
        <f t="shared" si="51"/>
        <v>Sep</v>
      </c>
      <c r="T396" s="6">
        <f t="shared" si="52"/>
        <v>2023</v>
      </c>
      <c r="U396" s="6" t="str">
        <f t="shared" si="53"/>
        <v>Delayed</v>
      </c>
      <c r="V396" s="6" t="str">
        <f t="shared" si="54"/>
        <v>High Value</v>
      </c>
      <c r="W396" s="6" t="str">
        <f t="shared" si="55"/>
        <v>No</v>
      </c>
    </row>
    <row r="397" spans="1:23" x14ac:dyDescent="0.3">
      <c r="A397" s="9" t="s">
        <v>730</v>
      </c>
      <c r="B397" s="5">
        <v>45396</v>
      </c>
      <c r="C397" s="4" t="s">
        <v>397</v>
      </c>
      <c r="D397" s="4" t="s">
        <v>398</v>
      </c>
      <c r="E397" s="4" t="s">
        <v>299</v>
      </c>
      <c r="F397" s="4" t="s">
        <v>19</v>
      </c>
      <c r="G397" s="4" t="s">
        <v>54</v>
      </c>
      <c r="H397" s="4" t="s">
        <v>415</v>
      </c>
      <c r="I397" s="4">
        <v>1</v>
      </c>
      <c r="J397" s="4">
        <v>320</v>
      </c>
      <c r="K397" s="4">
        <v>5</v>
      </c>
      <c r="L397" s="4">
        <v>304</v>
      </c>
      <c r="M397" s="4" t="s">
        <v>22</v>
      </c>
      <c r="N397" s="4" t="s">
        <v>37</v>
      </c>
      <c r="O397" s="4">
        <v>10</v>
      </c>
      <c r="P397" s="6">
        <f t="shared" si="48"/>
        <v>320</v>
      </c>
      <c r="Q397" s="6">
        <f t="shared" si="49"/>
        <v>16</v>
      </c>
      <c r="R397" s="6">
        <f t="shared" si="50"/>
        <v>60.800000000000004</v>
      </c>
      <c r="S397" s="6" t="str">
        <f t="shared" si="51"/>
        <v>Apr</v>
      </c>
      <c r="T397" s="6">
        <f t="shared" si="52"/>
        <v>2024</v>
      </c>
      <c r="U397" s="6" t="str">
        <f t="shared" si="53"/>
        <v>Delayed</v>
      </c>
      <c r="V397" s="6" t="str">
        <f t="shared" si="54"/>
        <v>Normal</v>
      </c>
      <c r="W397" s="6" t="str">
        <f t="shared" si="55"/>
        <v>Yes</v>
      </c>
    </row>
    <row r="398" spans="1:23" x14ac:dyDescent="0.3">
      <c r="A398" s="8" t="s">
        <v>731</v>
      </c>
      <c r="B398" s="3">
        <v>45472</v>
      </c>
      <c r="C398" s="2" t="s">
        <v>397</v>
      </c>
      <c r="D398" s="2" t="s">
        <v>398</v>
      </c>
      <c r="E398" s="2" t="s">
        <v>299</v>
      </c>
      <c r="F398" s="2" t="s">
        <v>19</v>
      </c>
      <c r="G398" s="2" t="s">
        <v>69</v>
      </c>
      <c r="H398" s="2" t="s">
        <v>274</v>
      </c>
      <c r="I398" s="2">
        <v>1</v>
      </c>
      <c r="J398" s="2">
        <v>1100</v>
      </c>
      <c r="K398" s="2">
        <v>0</v>
      </c>
      <c r="L398" s="2">
        <v>1100</v>
      </c>
      <c r="M398" s="2" t="s">
        <v>71</v>
      </c>
      <c r="N398" s="2" t="s">
        <v>31</v>
      </c>
      <c r="O398" s="2">
        <v>5</v>
      </c>
      <c r="P398" s="6">
        <f t="shared" si="48"/>
        <v>1100</v>
      </c>
      <c r="Q398" s="6">
        <f t="shared" si="49"/>
        <v>0</v>
      </c>
      <c r="R398" s="6">
        <f t="shared" si="50"/>
        <v>220</v>
      </c>
      <c r="S398" s="6" t="str">
        <f t="shared" si="51"/>
        <v>Jun</v>
      </c>
      <c r="T398" s="6">
        <f t="shared" si="52"/>
        <v>2024</v>
      </c>
      <c r="U398" s="6" t="str">
        <f t="shared" si="53"/>
        <v>Delayed</v>
      </c>
      <c r="V398" s="6" t="str">
        <f t="shared" si="54"/>
        <v>Normal</v>
      </c>
      <c r="W398" s="6" t="str">
        <f t="shared" si="55"/>
        <v>Yes</v>
      </c>
    </row>
    <row r="399" spans="1:23" x14ac:dyDescent="0.3">
      <c r="A399" s="9" t="s">
        <v>732</v>
      </c>
      <c r="B399" s="5">
        <v>45145</v>
      </c>
      <c r="C399" s="4" t="s">
        <v>397</v>
      </c>
      <c r="D399" s="4" t="s">
        <v>398</v>
      </c>
      <c r="E399" s="4" t="s">
        <v>299</v>
      </c>
      <c r="F399" s="4" t="s">
        <v>19</v>
      </c>
      <c r="G399" s="4" t="s">
        <v>126</v>
      </c>
      <c r="H399" s="4" t="s">
        <v>189</v>
      </c>
      <c r="I399" s="4">
        <v>4</v>
      </c>
      <c r="J399" s="4">
        <v>4500</v>
      </c>
      <c r="K399" s="4">
        <v>5</v>
      </c>
      <c r="L399" s="4">
        <v>17100</v>
      </c>
      <c r="M399" s="4" t="s">
        <v>143</v>
      </c>
      <c r="N399" s="4" t="s">
        <v>31</v>
      </c>
      <c r="O399" s="4">
        <v>3</v>
      </c>
      <c r="P399" s="6">
        <f t="shared" si="48"/>
        <v>18000</v>
      </c>
      <c r="Q399" s="6">
        <f t="shared" si="49"/>
        <v>900</v>
      </c>
      <c r="R399" s="6">
        <f t="shared" si="50"/>
        <v>3420</v>
      </c>
      <c r="S399" s="6" t="str">
        <f t="shared" si="51"/>
        <v>Aug</v>
      </c>
      <c r="T399" s="6">
        <f t="shared" si="52"/>
        <v>2023</v>
      </c>
      <c r="U399" s="6" t="str">
        <f t="shared" si="53"/>
        <v>Fast</v>
      </c>
      <c r="V399" s="6" t="str">
        <f t="shared" si="54"/>
        <v>High Value</v>
      </c>
      <c r="W399" s="6" t="str">
        <f t="shared" si="55"/>
        <v>No</v>
      </c>
    </row>
    <row r="400" spans="1:23" x14ac:dyDescent="0.3">
      <c r="A400" s="8" t="s">
        <v>733</v>
      </c>
      <c r="B400" s="3">
        <v>45045</v>
      </c>
      <c r="C400" s="2" t="s">
        <v>216</v>
      </c>
      <c r="D400" s="2" t="s">
        <v>119</v>
      </c>
      <c r="E400" s="2" t="s">
        <v>176</v>
      </c>
      <c r="F400" s="2" t="s">
        <v>177</v>
      </c>
      <c r="G400" s="2" t="s">
        <v>126</v>
      </c>
      <c r="H400" s="2" t="s">
        <v>189</v>
      </c>
      <c r="I400" s="2">
        <v>4</v>
      </c>
      <c r="J400" s="2">
        <v>4500</v>
      </c>
      <c r="K400" s="2">
        <v>0</v>
      </c>
      <c r="L400" s="2">
        <v>18000</v>
      </c>
      <c r="M400" s="2" t="s">
        <v>43</v>
      </c>
      <c r="N400" s="2" t="s">
        <v>37</v>
      </c>
      <c r="O400" s="2">
        <v>7</v>
      </c>
      <c r="P400" s="6">
        <f t="shared" si="48"/>
        <v>18000</v>
      </c>
      <c r="Q400" s="6">
        <f t="shared" si="49"/>
        <v>0</v>
      </c>
      <c r="R400" s="6">
        <f t="shared" si="50"/>
        <v>3600</v>
      </c>
      <c r="S400" s="6" t="str">
        <f t="shared" si="51"/>
        <v>Apr</v>
      </c>
      <c r="T400" s="6">
        <f t="shared" si="52"/>
        <v>2023</v>
      </c>
      <c r="U400" s="6" t="str">
        <f t="shared" si="53"/>
        <v>Delayed</v>
      </c>
      <c r="V400" s="6" t="str">
        <f t="shared" si="54"/>
        <v>High Value</v>
      </c>
      <c r="W400" s="6" t="str">
        <f t="shared" si="55"/>
        <v>Yes</v>
      </c>
    </row>
    <row r="401" spans="1:23" x14ac:dyDescent="0.3">
      <c r="A401" s="9" t="s">
        <v>734</v>
      </c>
      <c r="B401" s="5">
        <v>45338</v>
      </c>
      <c r="C401" s="4" t="s">
        <v>735</v>
      </c>
      <c r="D401" s="4" t="s">
        <v>401</v>
      </c>
      <c r="E401" s="4" t="s">
        <v>299</v>
      </c>
      <c r="F401" s="4" t="s">
        <v>19</v>
      </c>
      <c r="G401" s="4" t="s">
        <v>20</v>
      </c>
      <c r="H401" s="4" t="s">
        <v>36</v>
      </c>
      <c r="I401" s="4">
        <v>4</v>
      </c>
      <c r="J401" s="4">
        <v>1200</v>
      </c>
      <c r="K401" s="4">
        <v>5</v>
      </c>
      <c r="L401" s="4">
        <v>4560</v>
      </c>
      <c r="M401" s="4" t="s">
        <v>143</v>
      </c>
      <c r="N401" s="4" t="s">
        <v>23</v>
      </c>
      <c r="O401" s="4">
        <v>0</v>
      </c>
      <c r="P401" s="6">
        <f t="shared" si="48"/>
        <v>4800</v>
      </c>
      <c r="Q401" s="6">
        <f t="shared" si="49"/>
        <v>240</v>
      </c>
      <c r="R401" s="6">
        <f t="shared" si="50"/>
        <v>912</v>
      </c>
      <c r="S401" s="6" t="str">
        <f t="shared" si="51"/>
        <v>Feb</v>
      </c>
      <c r="T401" s="6">
        <f t="shared" si="52"/>
        <v>2024</v>
      </c>
      <c r="U401" s="6" t="str">
        <f t="shared" si="53"/>
        <v>Fast</v>
      </c>
      <c r="V401" s="6" t="str">
        <f t="shared" si="54"/>
        <v>Normal</v>
      </c>
      <c r="W401" s="6" t="str">
        <f t="shared" si="55"/>
        <v>No</v>
      </c>
    </row>
    <row r="402" spans="1:23" x14ac:dyDescent="0.3">
      <c r="A402" s="8" t="s">
        <v>736</v>
      </c>
      <c r="B402" s="3">
        <v>44956</v>
      </c>
      <c r="C402" s="2" t="s">
        <v>57</v>
      </c>
      <c r="D402" s="2" t="s">
        <v>58</v>
      </c>
      <c r="E402" s="2" t="s">
        <v>18</v>
      </c>
      <c r="F402" s="2" t="s">
        <v>19</v>
      </c>
      <c r="G402" s="2" t="s">
        <v>91</v>
      </c>
      <c r="H402" s="2" t="s">
        <v>276</v>
      </c>
      <c r="I402" s="2">
        <v>4</v>
      </c>
      <c r="J402" s="2">
        <v>1200</v>
      </c>
      <c r="K402" s="2">
        <v>10</v>
      </c>
      <c r="L402" s="2">
        <v>4320</v>
      </c>
      <c r="M402" s="2" t="s">
        <v>107</v>
      </c>
      <c r="N402" s="2" t="s">
        <v>37</v>
      </c>
      <c r="O402" s="2">
        <v>8</v>
      </c>
      <c r="P402" s="6">
        <f t="shared" si="48"/>
        <v>4800</v>
      </c>
      <c r="Q402" s="6">
        <f t="shared" si="49"/>
        <v>480</v>
      </c>
      <c r="R402" s="6">
        <f t="shared" si="50"/>
        <v>864</v>
      </c>
      <c r="S402" s="6" t="str">
        <f t="shared" si="51"/>
        <v>Jan</v>
      </c>
      <c r="T402" s="6">
        <f t="shared" si="52"/>
        <v>2023</v>
      </c>
      <c r="U402" s="6" t="str">
        <f t="shared" si="53"/>
        <v>Delayed</v>
      </c>
      <c r="V402" s="6" t="str">
        <f t="shared" si="54"/>
        <v>Normal</v>
      </c>
      <c r="W402" s="6" t="str">
        <f t="shared" si="55"/>
        <v>No</v>
      </c>
    </row>
    <row r="403" spans="1:23" x14ac:dyDescent="0.3">
      <c r="A403" s="9" t="s">
        <v>737</v>
      </c>
      <c r="B403" s="5">
        <v>45182</v>
      </c>
      <c r="C403" s="4" t="s">
        <v>421</v>
      </c>
      <c r="D403" s="4" t="s">
        <v>377</v>
      </c>
      <c r="E403" s="4" t="s">
        <v>147</v>
      </c>
      <c r="F403" s="4" t="s">
        <v>19</v>
      </c>
      <c r="G403" s="4" t="s">
        <v>149</v>
      </c>
      <c r="H403" s="4" t="s">
        <v>463</v>
      </c>
      <c r="I403" s="4">
        <v>3</v>
      </c>
      <c r="J403" s="4">
        <v>380</v>
      </c>
      <c r="K403" s="4">
        <v>15</v>
      </c>
      <c r="L403" s="4">
        <v>969</v>
      </c>
      <c r="M403" s="4" t="s">
        <v>143</v>
      </c>
      <c r="N403" s="4" t="s">
        <v>31</v>
      </c>
      <c r="O403" s="4">
        <v>3</v>
      </c>
      <c r="P403" s="6">
        <f t="shared" si="48"/>
        <v>1140</v>
      </c>
      <c r="Q403" s="6">
        <f t="shared" si="49"/>
        <v>171</v>
      </c>
      <c r="R403" s="6">
        <f t="shared" si="50"/>
        <v>193.8</v>
      </c>
      <c r="S403" s="6" t="str">
        <f t="shared" si="51"/>
        <v>Sep</v>
      </c>
      <c r="T403" s="6">
        <f t="shared" si="52"/>
        <v>2023</v>
      </c>
      <c r="U403" s="6" t="str">
        <f t="shared" si="53"/>
        <v>Fast</v>
      </c>
      <c r="V403" s="6" t="str">
        <f t="shared" si="54"/>
        <v>Normal</v>
      </c>
      <c r="W403" s="6" t="str">
        <f t="shared" si="55"/>
        <v>No</v>
      </c>
    </row>
    <row r="404" spans="1:23" x14ac:dyDescent="0.3">
      <c r="A404" s="8" t="s">
        <v>738</v>
      </c>
      <c r="B404" s="3">
        <v>44974</v>
      </c>
      <c r="C404" s="2" t="s">
        <v>403</v>
      </c>
      <c r="D404" s="2" t="s">
        <v>404</v>
      </c>
      <c r="E404" s="2" t="s">
        <v>270</v>
      </c>
      <c r="F404" s="2" t="s">
        <v>19</v>
      </c>
      <c r="G404" s="2" t="s">
        <v>91</v>
      </c>
      <c r="H404" s="2" t="s">
        <v>163</v>
      </c>
      <c r="I404" s="2">
        <v>3</v>
      </c>
      <c r="J404" s="2">
        <v>900</v>
      </c>
      <c r="K404" s="2">
        <v>0</v>
      </c>
      <c r="L404" s="2">
        <v>2700</v>
      </c>
      <c r="M404" s="2" t="s">
        <v>43</v>
      </c>
      <c r="N404" s="2" t="s">
        <v>37</v>
      </c>
      <c r="O404" s="2">
        <v>7</v>
      </c>
      <c r="P404" s="6">
        <f t="shared" si="48"/>
        <v>2700</v>
      </c>
      <c r="Q404" s="6">
        <f t="shared" si="49"/>
        <v>0</v>
      </c>
      <c r="R404" s="6">
        <f t="shared" si="50"/>
        <v>540</v>
      </c>
      <c r="S404" s="6" t="str">
        <f t="shared" si="51"/>
        <v>Feb</v>
      </c>
      <c r="T404" s="6">
        <f t="shared" si="52"/>
        <v>2023</v>
      </c>
      <c r="U404" s="6" t="str">
        <f t="shared" si="53"/>
        <v>Delayed</v>
      </c>
      <c r="V404" s="6" t="str">
        <f t="shared" si="54"/>
        <v>Normal</v>
      </c>
      <c r="W404" s="6" t="str">
        <f t="shared" si="55"/>
        <v>No</v>
      </c>
    </row>
    <row r="405" spans="1:23" x14ac:dyDescent="0.3">
      <c r="A405" s="9" t="s">
        <v>739</v>
      </c>
      <c r="B405" s="5">
        <v>45192</v>
      </c>
      <c r="C405" s="4" t="s">
        <v>104</v>
      </c>
      <c r="D405" s="4" t="s">
        <v>105</v>
      </c>
      <c r="E405" s="4" t="s">
        <v>106</v>
      </c>
      <c r="F405" s="4" t="s">
        <v>19</v>
      </c>
      <c r="G405" s="4" t="s">
        <v>126</v>
      </c>
      <c r="H405" s="4" t="s">
        <v>337</v>
      </c>
      <c r="I405" s="4">
        <v>1</v>
      </c>
      <c r="J405" s="4">
        <v>2200</v>
      </c>
      <c r="K405" s="4">
        <v>0</v>
      </c>
      <c r="L405" s="4">
        <v>2200</v>
      </c>
      <c r="M405" s="4" t="s">
        <v>143</v>
      </c>
      <c r="N405" s="4" t="s">
        <v>37</v>
      </c>
      <c r="O405" s="4">
        <v>1</v>
      </c>
      <c r="P405" s="6">
        <f t="shared" si="48"/>
        <v>2200</v>
      </c>
      <c r="Q405" s="6">
        <f t="shared" si="49"/>
        <v>0</v>
      </c>
      <c r="R405" s="6">
        <f t="shared" si="50"/>
        <v>440</v>
      </c>
      <c r="S405" s="6" t="str">
        <f t="shared" si="51"/>
        <v>Sep</v>
      </c>
      <c r="T405" s="6">
        <f t="shared" si="52"/>
        <v>2023</v>
      </c>
      <c r="U405" s="6" t="str">
        <f t="shared" si="53"/>
        <v>Fast</v>
      </c>
      <c r="V405" s="6" t="str">
        <f t="shared" si="54"/>
        <v>Normal</v>
      </c>
      <c r="W405" s="6" t="str">
        <f t="shared" si="55"/>
        <v>Yes</v>
      </c>
    </row>
    <row r="406" spans="1:23" x14ac:dyDescent="0.3">
      <c r="A406" s="8" t="s">
        <v>740</v>
      </c>
      <c r="B406" s="3">
        <v>45197</v>
      </c>
      <c r="C406" s="2" t="s">
        <v>547</v>
      </c>
      <c r="D406" s="2" t="s">
        <v>548</v>
      </c>
      <c r="E406" s="2" t="s">
        <v>159</v>
      </c>
      <c r="F406" s="2" t="s">
        <v>19</v>
      </c>
      <c r="G406" s="2" t="s">
        <v>69</v>
      </c>
      <c r="H406" s="2" t="s">
        <v>635</v>
      </c>
      <c r="I406" s="2">
        <v>2</v>
      </c>
      <c r="J406" s="2">
        <v>1200</v>
      </c>
      <c r="K406" s="2">
        <v>5</v>
      </c>
      <c r="L406" s="2">
        <v>2280</v>
      </c>
      <c r="M406" s="2" t="s">
        <v>143</v>
      </c>
      <c r="N406" s="2" t="s">
        <v>64</v>
      </c>
      <c r="O406" s="2">
        <v>4</v>
      </c>
      <c r="P406" s="6">
        <f t="shared" si="48"/>
        <v>2400</v>
      </c>
      <c r="Q406" s="6">
        <f t="shared" si="49"/>
        <v>120</v>
      </c>
      <c r="R406" s="6">
        <f t="shared" si="50"/>
        <v>456</v>
      </c>
      <c r="S406" s="6" t="str">
        <f t="shared" si="51"/>
        <v>Sep</v>
      </c>
      <c r="T406" s="6">
        <f t="shared" si="52"/>
        <v>2023</v>
      </c>
      <c r="U406" s="6" t="str">
        <f t="shared" si="53"/>
        <v>Delayed</v>
      </c>
      <c r="V406" s="6" t="str">
        <f t="shared" si="54"/>
        <v>Normal</v>
      </c>
      <c r="W406" s="6" t="str">
        <f t="shared" si="55"/>
        <v>No</v>
      </c>
    </row>
    <row r="407" spans="1:23" x14ac:dyDescent="0.3">
      <c r="A407" s="9" t="s">
        <v>741</v>
      </c>
      <c r="B407" s="5">
        <v>45247</v>
      </c>
      <c r="C407" s="4" t="s">
        <v>228</v>
      </c>
      <c r="D407" s="4" t="s">
        <v>229</v>
      </c>
      <c r="E407" s="4" t="s">
        <v>230</v>
      </c>
      <c r="F407" s="4" t="s">
        <v>19</v>
      </c>
      <c r="G407" s="4" t="s">
        <v>47</v>
      </c>
      <c r="H407" s="4" t="s">
        <v>48</v>
      </c>
      <c r="I407" s="4">
        <v>1</v>
      </c>
      <c r="J407" s="4">
        <v>320</v>
      </c>
      <c r="K407" s="4">
        <v>10</v>
      </c>
      <c r="L407" s="4">
        <v>288</v>
      </c>
      <c r="M407" s="4" t="s">
        <v>22</v>
      </c>
      <c r="N407" s="4" t="s">
        <v>37</v>
      </c>
      <c r="O407" s="4">
        <v>8</v>
      </c>
      <c r="P407" s="6">
        <f t="shared" si="48"/>
        <v>320</v>
      </c>
      <c r="Q407" s="6">
        <f t="shared" si="49"/>
        <v>32</v>
      </c>
      <c r="R407" s="6">
        <f t="shared" si="50"/>
        <v>57.6</v>
      </c>
      <c r="S407" s="6" t="str">
        <f t="shared" si="51"/>
        <v>Nov</v>
      </c>
      <c r="T407" s="6">
        <f t="shared" si="52"/>
        <v>2023</v>
      </c>
      <c r="U407" s="6" t="str">
        <f t="shared" si="53"/>
        <v>Delayed</v>
      </c>
      <c r="V407" s="6" t="str">
        <f t="shared" si="54"/>
        <v>Normal</v>
      </c>
      <c r="W407" s="6" t="str">
        <f t="shared" si="55"/>
        <v>No</v>
      </c>
    </row>
    <row r="408" spans="1:23" x14ac:dyDescent="0.3">
      <c r="A408" s="8" t="s">
        <v>742</v>
      </c>
      <c r="B408" s="3">
        <v>45458</v>
      </c>
      <c r="C408" s="2" t="s">
        <v>241</v>
      </c>
      <c r="D408" s="2" t="s">
        <v>242</v>
      </c>
      <c r="E408" s="2" t="s">
        <v>230</v>
      </c>
      <c r="F408" s="2" t="s">
        <v>19</v>
      </c>
      <c r="G408" s="2" t="s">
        <v>54</v>
      </c>
      <c r="H408" s="2" t="s">
        <v>413</v>
      </c>
      <c r="I408" s="2">
        <v>4</v>
      </c>
      <c r="J408" s="2">
        <v>350</v>
      </c>
      <c r="K408" s="2">
        <v>0</v>
      </c>
      <c r="L408" s="2">
        <v>1400</v>
      </c>
      <c r="M408" s="2" t="s">
        <v>43</v>
      </c>
      <c r="N408" s="2" t="s">
        <v>37</v>
      </c>
      <c r="O408" s="2">
        <v>6</v>
      </c>
      <c r="P408" s="6">
        <f t="shared" si="48"/>
        <v>1400</v>
      </c>
      <c r="Q408" s="6">
        <f t="shared" si="49"/>
        <v>0</v>
      </c>
      <c r="R408" s="6">
        <f t="shared" si="50"/>
        <v>280</v>
      </c>
      <c r="S408" s="6" t="str">
        <f t="shared" si="51"/>
        <v>Jun</v>
      </c>
      <c r="T408" s="6">
        <f t="shared" si="52"/>
        <v>2024</v>
      </c>
      <c r="U408" s="6" t="str">
        <f t="shared" si="53"/>
        <v>Delayed</v>
      </c>
      <c r="V408" s="6" t="str">
        <f t="shared" si="54"/>
        <v>Normal</v>
      </c>
      <c r="W408" s="6" t="str">
        <f t="shared" si="55"/>
        <v>Yes</v>
      </c>
    </row>
    <row r="409" spans="1:23" x14ac:dyDescent="0.3">
      <c r="A409" s="9" t="s">
        <v>743</v>
      </c>
      <c r="B409" s="5">
        <v>45342</v>
      </c>
      <c r="C409" s="4" t="s">
        <v>569</v>
      </c>
      <c r="D409" s="4" t="s">
        <v>570</v>
      </c>
      <c r="E409" s="4" t="s">
        <v>83</v>
      </c>
      <c r="F409" s="4" t="s">
        <v>19</v>
      </c>
      <c r="G409" s="4" t="s">
        <v>47</v>
      </c>
      <c r="H409" s="4" t="s">
        <v>96</v>
      </c>
      <c r="I409" s="4">
        <v>4</v>
      </c>
      <c r="J409" s="4">
        <v>380</v>
      </c>
      <c r="K409" s="4">
        <v>10</v>
      </c>
      <c r="L409" s="4">
        <v>1368</v>
      </c>
      <c r="M409" s="4" t="s">
        <v>43</v>
      </c>
      <c r="N409" s="4" t="s">
        <v>23</v>
      </c>
      <c r="O409" s="4">
        <v>0</v>
      </c>
      <c r="P409" s="6">
        <f t="shared" si="48"/>
        <v>1520</v>
      </c>
      <c r="Q409" s="6">
        <f t="shared" si="49"/>
        <v>152</v>
      </c>
      <c r="R409" s="6">
        <f t="shared" si="50"/>
        <v>273.60000000000002</v>
      </c>
      <c r="S409" s="6" t="str">
        <f t="shared" si="51"/>
        <v>Feb</v>
      </c>
      <c r="T409" s="6">
        <f t="shared" si="52"/>
        <v>2024</v>
      </c>
      <c r="U409" s="6" t="str">
        <f t="shared" si="53"/>
        <v>Fast</v>
      </c>
      <c r="V409" s="6" t="str">
        <f t="shared" si="54"/>
        <v>Normal</v>
      </c>
      <c r="W409" s="6" t="str">
        <f t="shared" si="55"/>
        <v>No</v>
      </c>
    </row>
    <row r="410" spans="1:23" x14ac:dyDescent="0.3">
      <c r="A410" s="8" t="s">
        <v>744</v>
      </c>
      <c r="B410" s="3">
        <v>45053</v>
      </c>
      <c r="C410" s="2" t="s">
        <v>397</v>
      </c>
      <c r="D410" s="2" t="s">
        <v>398</v>
      </c>
      <c r="E410" s="2" t="s">
        <v>299</v>
      </c>
      <c r="F410" s="2" t="s">
        <v>19</v>
      </c>
      <c r="G410" s="2" t="s">
        <v>69</v>
      </c>
      <c r="H410" s="2" t="s">
        <v>431</v>
      </c>
      <c r="I410" s="2">
        <v>2</v>
      </c>
      <c r="J410" s="2">
        <v>1400</v>
      </c>
      <c r="K410" s="2">
        <v>0</v>
      </c>
      <c r="L410" s="2">
        <v>2800</v>
      </c>
      <c r="M410" s="2" t="s">
        <v>22</v>
      </c>
      <c r="N410" s="2" t="s">
        <v>64</v>
      </c>
      <c r="O410" s="2">
        <v>3</v>
      </c>
      <c r="P410" s="6">
        <f t="shared" si="48"/>
        <v>2800</v>
      </c>
      <c r="Q410" s="6">
        <f t="shared" si="49"/>
        <v>0</v>
      </c>
      <c r="R410" s="6">
        <f t="shared" si="50"/>
        <v>560</v>
      </c>
      <c r="S410" s="6" t="str">
        <f t="shared" si="51"/>
        <v>May</v>
      </c>
      <c r="T410" s="6">
        <f t="shared" si="52"/>
        <v>2023</v>
      </c>
      <c r="U410" s="6" t="str">
        <f t="shared" si="53"/>
        <v>Fast</v>
      </c>
      <c r="V410" s="6" t="str">
        <f t="shared" si="54"/>
        <v>Normal</v>
      </c>
      <c r="W410" s="6" t="str">
        <f t="shared" si="55"/>
        <v>Yes</v>
      </c>
    </row>
    <row r="411" spans="1:23" x14ac:dyDescent="0.3">
      <c r="A411" s="9" t="s">
        <v>745</v>
      </c>
      <c r="B411" s="5">
        <v>45276</v>
      </c>
      <c r="C411" s="4" t="s">
        <v>33</v>
      </c>
      <c r="D411" s="4" t="s">
        <v>34</v>
      </c>
      <c r="E411" s="4" t="s">
        <v>35</v>
      </c>
      <c r="F411" s="4" t="s">
        <v>19</v>
      </c>
      <c r="G411" s="4" t="s">
        <v>54</v>
      </c>
      <c r="H411" s="4" t="s">
        <v>433</v>
      </c>
      <c r="I411" s="4">
        <v>1</v>
      </c>
      <c r="J411" s="4">
        <v>40</v>
      </c>
      <c r="K411" s="4">
        <v>10</v>
      </c>
      <c r="L411" s="4">
        <v>36</v>
      </c>
      <c r="M411" s="4" t="s">
        <v>22</v>
      </c>
      <c r="N411" s="4" t="s">
        <v>37</v>
      </c>
      <c r="O411" s="4">
        <v>1</v>
      </c>
      <c r="P411" s="6">
        <f t="shared" si="48"/>
        <v>40</v>
      </c>
      <c r="Q411" s="6">
        <f t="shared" si="49"/>
        <v>4</v>
      </c>
      <c r="R411" s="6">
        <f t="shared" si="50"/>
        <v>7.2</v>
      </c>
      <c r="S411" s="6" t="str">
        <f t="shared" si="51"/>
        <v>Dec</v>
      </c>
      <c r="T411" s="6">
        <f t="shared" si="52"/>
        <v>2023</v>
      </c>
      <c r="U411" s="6" t="str">
        <f t="shared" si="53"/>
        <v>Fast</v>
      </c>
      <c r="V411" s="6" t="str">
        <f t="shared" si="54"/>
        <v>Normal</v>
      </c>
      <c r="W411" s="6" t="str">
        <f t="shared" si="55"/>
        <v>Yes</v>
      </c>
    </row>
    <row r="412" spans="1:23" x14ac:dyDescent="0.3">
      <c r="A412" s="8" t="s">
        <v>746</v>
      </c>
      <c r="B412" s="3">
        <v>45291</v>
      </c>
      <c r="C412" s="2" t="s">
        <v>400</v>
      </c>
      <c r="D412" s="2" t="s">
        <v>401</v>
      </c>
      <c r="E412" s="2" t="s">
        <v>137</v>
      </c>
      <c r="F412" s="2" t="s">
        <v>19</v>
      </c>
      <c r="G412" s="2" t="s">
        <v>91</v>
      </c>
      <c r="H412" s="2" t="s">
        <v>359</v>
      </c>
      <c r="I412" s="2">
        <v>3</v>
      </c>
      <c r="J412" s="2">
        <v>8000</v>
      </c>
      <c r="K412" s="2">
        <v>5</v>
      </c>
      <c r="L412" s="2">
        <v>22800</v>
      </c>
      <c r="M412" s="2" t="s">
        <v>30</v>
      </c>
      <c r="N412" s="2" t="s">
        <v>23</v>
      </c>
      <c r="O412" s="2">
        <v>0</v>
      </c>
      <c r="P412" s="6">
        <f t="shared" si="48"/>
        <v>24000</v>
      </c>
      <c r="Q412" s="6">
        <f t="shared" si="49"/>
        <v>1200</v>
      </c>
      <c r="R412" s="6">
        <f t="shared" si="50"/>
        <v>4560</v>
      </c>
      <c r="S412" s="6" t="str">
        <f t="shared" si="51"/>
        <v>Dec</v>
      </c>
      <c r="T412" s="6">
        <f t="shared" si="52"/>
        <v>2023</v>
      </c>
      <c r="U412" s="6" t="str">
        <f t="shared" si="53"/>
        <v>Fast</v>
      </c>
      <c r="V412" s="6" t="str">
        <f t="shared" si="54"/>
        <v>High Value</v>
      </c>
      <c r="W412" s="6" t="str">
        <f t="shared" si="55"/>
        <v>Yes</v>
      </c>
    </row>
    <row r="413" spans="1:23" x14ac:dyDescent="0.3">
      <c r="A413" s="9" t="s">
        <v>747</v>
      </c>
      <c r="B413" s="5">
        <v>45049</v>
      </c>
      <c r="C413" s="4" t="s">
        <v>211</v>
      </c>
      <c r="D413" s="4" t="s">
        <v>212</v>
      </c>
      <c r="E413" s="4" t="s">
        <v>83</v>
      </c>
      <c r="F413" s="4" t="s">
        <v>19</v>
      </c>
      <c r="G413" s="4" t="s">
        <v>149</v>
      </c>
      <c r="H413" s="4" t="s">
        <v>226</v>
      </c>
      <c r="I413" s="4">
        <v>4</v>
      </c>
      <c r="J413" s="4">
        <v>350</v>
      </c>
      <c r="K413" s="4">
        <v>5</v>
      </c>
      <c r="L413" s="4">
        <v>1330</v>
      </c>
      <c r="M413" s="4" t="s">
        <v>30</v>
      </c>
      <c r="N413" s="4" t="s">
        <v>31</v>
      </c>
      <c r="O413" s="4">
        <v>4</v>
      </c>
      <c r="P413" s="6">
        <f t="shared" si="48"/>
        <v>1400</v>
      </c>
      <c r="Q413" s="6">
        <f t="shared" si="49"/>
        <v>70</v>
      </c>
      <c r="R413" s="6">
        <f t="shared" si="50"/>
        <v>266</v>
      </c>
      <c r="S413" s="6" t="str">
        <f t="shared" si="51"/>
        <v>May</v>
      </c>
      <c r="T413" s="6">
        <f t="shared" si="52"/>
        <v>2023</v>
      </c>
      <c r="U413" s="6" t="str">
        <f t="shared" si="53"/>
        <v>Delayed</v>
      </c>
      <c r="V413" s="6" t="str">
        <f t="shared" si="54"/>
        <v>Normal</v>
      </c>
      <c r="W413" s="6" t="str">
        <f t="shared" si="55"/>
        <v>No</v>
      </c>
    </row>
    <row r="414" spans="1:23" x14ac:dyDescent="0.3">
      <c r="A414" s="8" t="s">
        <v>748</v>
      </c>
      <c r="B414" s="3">
        <v>45002</v>
      </c>
      <c r="C414" s="2" t="s">
        <v>263</v>
      </c>
      <c r="D414" s="2" t="s">
        <v>264</v>
      </c>
      <c r="E414" s="2" t="s">
        <v>265</v>
      </c>
      <c r="F414" s="2" t="s">
        <v>266</v>
      </c>
      <c r="G414" s="2" t="s">
        <v>149</v>
      </c>
      <c r="H414" s="2" t="s">
        <v>463</v>
      </c>
      <c r="I414" s="2">
        <v>2</v>
      </c>
      <c r="J414" s="2">
        <v>380</v>
      </c>
      <c r="K414" s="2">
        <v>15</v>
      </c>
      <c r="L414" s="2">
        <v>646</v>
      </c>
      <c r="M414" s="2" t="s">
        <v>143</v>
      </c>
      <c r="N414" s="2" t="s">
        <v>31</v>
      </c>
      <c r="O414" s="2">
        <v>3</v>
      </c>
      <c r="P414" s="6">
        <f t="shared" si="48"/>
        <v>760</v>
      </c>
      <c r="Q414" s="6">
        <f t="shared" si="49"/>
        <v>114</v>
      </c>
      <c r="R414" s="6">
        <f t="shared" si="50"/>
        <v>129.20000000000002</v>
      </c>
      <c r="S414" s="6" t="str">
        <f t="shared" si="51"/>
        <v>Mar</v>
      </c>
      <c r="T414" s="6">
        <f t="shared" si="52"/>
        <v>2023</v>
      </c>
      <c r="U414" s="6" t="str">
        <f t="shared" si="53"/>
        <v>Fast</v>
      </c>
      <c r="V414" s="6" t="str">
        <f t="shared" si="54"/>
        <v>Normal</v>
      </c>
      <c r="W414" s="6" t="str">
        <f t="shared" si="55"/>
        <v>No</v>
      </c>
    </row>
    <row r="415" spans="1:23" x14ac:dyDescent="0.3">
      <c r="A415" s="9" t="s">
        <v>749</v>
      </c>
      <c r="B415" s="5">
        <v>45472</v>
      </c>
      <c r="C415" s="4" t="s">
        <v>330</v>
      </c>
      <c r="D415" s="4" t="s">
        <v>331</v>
      </c>
      <c r="E415" s="4" t="s">
        <v>176</v>
      </c>
      <c r="F415" s="4" t="s">
        <v>177</v>
      </c>
      <c r="G415" s="4" t="s">
        <v>69</v>
      </c>
      <c r="H415" s="4" t="s">
        <v>482</v>
      </c>
      <c r="I415" s="4">
        <v>4</v>
      </c>
      <c r="J415" s="4">
        <v>2800</v>
      </c>
      <c r="K415" s="4">
        <v>10</v>
      </c>
      <c r="L415" s="4">
        <v>10080</v>
      </c>
      <c r="M415" s="4" t="s">
        <v>43</v>
      </c>
      <c r="N415" s="4" t="s">
        <v>37</v>
      </c>
      <c r="O415" s="4">
        <v>6</v>
      </c>
      <c r="P415" s="6">
        <f t="shared" si="48"/>
        <v>11200</v>
      </c>
      <c r="Q415" s="6">
        <f t="shared" si="49"/>
        <v>1120</v>
      </c>
      <c r="R415" s="6">
        <f t="shared" si="50"/>
        <v>2016</v>
      </c>
      <c r="S415" s="6" t="str">
        <f t="shared" si="51"/>
        <v>Jun</v>
      </c>
      <c r="T415" s="6">
        <f t="shared" si="52"/>
        <v>2024</v>
      </c>
      <c r="U415" s="6" t="str">
        <f t="shared" si="53"/>
        <v>Delayed</v>
      </c>
      <c r="V415" s="6" t="str">
        <f t="shared" si="54"/>
        <v>High Value</v>
      </c>
      <c r="W415" s="6" t="str">
        <f t="shared" si="55"/>
        <v>Yes</v>
      </c>
    </row>
    <row r="416" spans="1:23" x14ac:dyDescent="0.3">
      <c r="A416" s="8" t="s">
        <v>750</v>
      </c>
      <c r="B416" s="3">
        <v>45301</v>
      </c>
      <c r="C416" s="2" t="s">
        <v>88</v>
      </c>
      <c r="D416" s="2" t="s">
        <v>89</v>
      </c>
      <c r="E416" s="2" t="s">
        <v>90</v>
      </c>
      <c r="F416" s="2" t="s">
        <v>19</v>
      </c>
      <c r="G416" s="2" t="s">
        <v>20</v>
      </c>
      <c r="H416" s="2" t="s">
        <v>344</v>
      </c>
      <c r="I416" s="2">
        <v>4</v>
      </c>
      <c r="J416" s="2">
        <v>1800</v>
      </c>
      <c r="K416" s="2">
        <v>0</v>
      </c>
      <c r="L416" s="2">
        <v>7200</v>
      </c>
      <c r="M416" s="2" t="s">
        <v>22</v>
      </c>
      <c r="N416" s="2" t="s">
        <v>31</v>
      </c>
      <c r="O416" s="2">
        <v>4</v>
      </c>
      <c r="P416" s="6">
        <f t="shared" si="48"/>
        <v>7200</v>
      </c>
      <c r="Q416" s="6">
        <f t="shared" si="49"/>
        <v>0</v>
      </c>
      <c r="R416" s="6">
        <f t="shared" si="50"/>
        <v>1440</v>
      </c>
      <c r="S416" s="6" t="str">
        <f t="shared" si="51"/>
        <v>Jan</v>
      </c>
      <c r="T416" s="6">
        <f t="shared" si="52"/>
        <v>2024</v>
      </c>
      <c r="U416" s="6" t="str">
        <f t="shared" si="53"/>
        <v>Delayed</v>
      </c>
      <c r="V416" s="6" t="str">
        <f t="shared" si="54"/>
        <v>High Value</v>
      </c>
      <c r="W416" s="6" t="str">
        <f t="shared" si="55"/>
        <v>No</v>
      </c>
    </row>
    <row r="417" spans="1:23" x14ac:dyDescent="0.3">
      <c r="A417" s="9" t="s">
        <v>751</v>
      </c>
      <c r="B417" s="5">
        <v>45045</v>
      </c>
      <c r="C417" s="4" t="s">
        <v>507</v>
      </c>
      <c r="D417" s="4" t="s">
        <v>508</v>
      </c>
      <c r="E417" s="4" t="s">
        <v>171</v>
      </c>
      <c r="F417" s="4" t="s">
        <v>19</v>
      </c>
      <c r="G417" s="4" t="s">
        <v>91</v>
      </c>
      <c r="H417" s="4" t="s">
        <v>500</v>
      </c>
      <c r="I417" s="4">
        <v>4</v>
      </c>
      <c r="J417" s="4">
        <v>2500</v>
      </c>
      <c r="K417" s="4">
        <v>0</v>
      </c>
      <c r="L417" s="4">
        <v>10000</v>
      </c>
      <c r="M417" s="4" t="s">
        <v>43</v>
      </c>
      <c r="N417" s="4" t="s">
        <v>37</v>
      </c>
      <c r="O417" s="4">
        <v>8</v>
      </c>
      <c r="P417" s="6">
        <f t="shared" si="48"/>
        <v>10000</v>
      </c>
      <c r="Q417" s="6">
        <f t="shared" si="49"/>
        <v>0</v>
      </c>
      <c r="R417" s="6">
        <f t="shared" si="50"/>
        <v>2000</v>
      </c>
      <c r="S417" s="6" t="str">
        <f t="shared" si="51"/>
        <v>Apr</v>
      </c>
      <c r="T417" s="6">
        <f t="shared" si="52"/>
        <v>2023</v>
      </c>
      <c r="U417" s="6" t="str">
        <f t="shared" si="53"/>
        <v>Delayed</v>
      </c>
      <c r="V417" s="6" t="str">
        <f t="shared" si="54"/>
        <v>High Value</v>
      </c>
      <c r="W417" s="6" t="str">
        <f t="shared" si="55"/>
        <v>Yes</v>
      </c>
    </row>
    <row r="418" spans="1:23" x14ac:dyDescent="0.3">
      <c r="A418" s="8" t="s">
        <v>752</v>
      </c>
      <c r="B418" s="3">
        <v>45116</v>
      </c>
      <c r="C418" s="2" t="s">
        <v>310</v>
      </c>
      <c r="D418" s="2" t="s">
        <v>311</v>
      </c>
      <c r="E418" s="2" t="s">
        <v>253</v>
      </c>
      <c r="F418" s="2" t="s">
        <v>155</v>
      </c>
      <c r="G418" s="2" t="s">
        <v>126</v>
      </c>
      <c r="H418" s="2" t="s">
        <v>308</v>
      </c>
      <c r="I418" s="2">
        <v>3</v>
      </c>
      <c r="J418" s="2">
        <v>1500</v>
      </c>
      <c r="K418" s="2">
        <v>0</v>
      </c>
      <c r="L418" s="2">
        <v>4500</v>
      </c>
      <c r="M418" s="2" t="s">
        <v>107</v>
      </c>
      <c r="N418" s="2" t="s">
        <v>64</v>
      </c>
      <c r="O418" s="2">
        <v>4</v>
      </c>
      <c r="P418" s="6">
        <f t="shared" si="48"/>
        <v>4500</v>
      </c>
      <c r="Q418" s="6">
        <f t="shared" si="49"/>
        <v>0</v>
      </c>
      <c r="R418" s="6">
        <f t="shared" si="50"/>
        <v>900</v>
      </c>
      <c r="S418" s="6" t="str">
        <f t="shared" si="51"/>
        <v>Jul</v>
      </c>
      <c r="T418" s="6">
        <f t="shared" si="52"/>
        <v>2023</v>
      </c>
      <c r="U418" s="6" t="str">
        <f t="shared" si="53"/>
        <v>Delayed</v>
      </c>
      <c r="V418" s="6" t="str">
        <f t="shared" si="54"/>
        <v>Normal</v>
      </c>
      <c r="W418" s="6" t="str">
        <f t="shared" si="55"/>
        <v>Yes</v>
      </c>
    </row>
    <row r="419" spans="1:23" x14ac:dyDescent="0.3">
      <c r="A419" s="9" t="s">
        <v>753</v>
      </c>
      <c r="B419" s="5">
        <v>45183</v>
      </c>
      <c r="C419" s="4" t="s">
        <v>25</v>
      </c>
      <c r="D419" s="4" t="s">
        <v>26</v>
      </c>
      <c r="E419" s="4" t="s">
        <v>27</v>
      </c>
      <c r="F419" s="4" t="s">
        <v>19</v>
      </c>
      <c r="G419" s="4" t="s">
        <v>91</v>
      </c>
      <c r="H419" s="4" t="s">
        <v>120</v>
      </c>
      <c r="I419" s="4">
        <v>2</v>
      </c>
      <c r="J419" s="4">
        <v>22000</v>
      </c>
      <c r="K419" s="4">
        <v>0</v>
      </c>
      <c r="L419" s="4">
        <v>44000</v>
      </c>
      <c r="M419" s="4" t="s">
        <v>43</v>
      </c>
      <c r="N419" s="4" t="s">
        <v>37</v>
      </c>
      <c r="O419" s="4">
        <v>5</v>
      </c>
      <c r="P419" s="6">
        <f t="shared" si="48"/>
        <v>44000</v>
      </c>
      <c r="Q419" s="6">
        <f t="shared" si="49"/>
        <v>0</v>
      </c>
      <c r="R419" s="6">
        <f t="shared" si="50"/>
        <v>8800</v>
      </c>
      <c r="S419" s="6" t="str">
        <f t="shared" si="51"/>
        <v>Sep</v>
      </c>
      <c r="T419" s="6">
        <f t="shared" si="52"/>
        <v>2023</v>
      </c>
      <c r="U419" s="6" t="str">
        <f t="shared" si="53"/>
        <v>Delayed</v>
      </c>
      <c r="V419" s="6" t="str">
        <f t="shared" si="54"/>
        <v>High Value</v>
      </c>
      <c r="W419" s="6" t="str">
        <f t="shared" si="55"/>
        <v>No</v>
      </c>
    </row>
    <row r="420" spans="1:23" x14ac:dyDescent="0.3">
      <c r="A420" s="8" t="s">
        <v>754</v>
      </c>
      <c r="B420" s="3">
        <v>45228</v>
      </c>
      <c r="C420" s="2" t="s">
        <v>363</v>
      </c>
      <c r="D420" s="2" t="s">
        <v>364</v>
      </c>
      <c r="E420" s="2" t="s">
        <v>265</v>
      </c>
      <c r="F420" s="2" t="s">
        <v>266</v>
      </c>
      <c r="G420" s="2" t="s">
        <v>91</v>
      </c>
      <c r="H420" s="2" t="s">
        <v>291</v>
      </c>
      <c r="I420" s="2">
        <v>1</v>
      </c>
      <c r="J420" s="2">
        <v>45000</v>
      </c>
      <c r="K420" s="2">
        <v>10</v>
      </c>
      <c r="L420" s="2">
        <v>40500</v>
      </c>
      <c r="M420" s="2" t="s">
        <v>143</v>
      </c>
      <c r="N420" s="2" t="s">
        <v>37</v>
      </c>
      <c r="O420" s="2">
        <v>4</v>
      </c>
      <c r="P420" s="6">
        <f t="shared" si="48"/>
        <v>45000</v>
      </c>
      <c r="Q420" s="6">
        <f t="shared" si="49"/>
        <v>4500</v>
      </c>
      <c r="R420" s="6">
        <f t="shared" si="50"/>
        <v>8100</v>
      </c>
      <c r="S420" s="6" t="str">
        <f t="shared" si="51"/>
        <v>Oct</v>
      </c>
      <c r="T420" s="6">
        <f t="shared" si="52"/>
        <v>2023</v>
      </c>
      <c r="U420" s="6" t="str">
        <f t="shared" si="53"/>
        <v>Delayed</v>
      </c>
      <c r="V420" s="6" t="str">
        <f t="shared" si="54"/>
        <v>High Value</v>
      </c>
      <c r="W420" s="6" t="str">
        <f t="shared" si="55"/>
        <v>Yes</v>
      </c>
    </row>
    <row r="421" spans="1:23" x14ac:dyDescent="0.3">
      <c r="A421" s="9" t="s">
        <v>755</v>
      </c>
      <c r="B421" s="5">
        <v>45337</v>
      </c>
      <c r="C421" s="4" t="s">
        <v>513</v>
      </c>
      <c r="D421" s="4" t="s">
        <v>514</v>
      </c>
      <c r="E421" s="4" t="s">
        <v>299</v>
      </c>
      <c r="F421" s="4" t="s">
        <v>19</v>
      </c>
      <c r="G421" s="4" t="s">
        <v>28</v>
      </c>
      <c r="H421" s="4" t="s">
        <v>98</v>
      </c>
      <c r="I421" s="4">
        <v>3</v>
      </c>
      <c r="J421" s="4">
        <v>220</v>
      </c>
      <c r="K421" s="4">
        <v>5</v>
      </c>
      <c r="L421" s="4">
        <v>627</v>
      </c>
      <c r="M421" s="4" t="s">
        <v>30</v>
      </c>
      <c r="N421" s="4" t="s">
        <v>64</v>
      </c>
      <c r="O421" s="4">
        <v>5</v>
      </c>
      <c r="P421" s="6">
        <f t="shared" si="48"/>
        <v>660</v>
      </c>
      <c r="Q421" s="6">
        <f t="shared" si="49"/>
        <v>33</v>
      </c>
      <c r="R421" s="6">
        <f t="shared" si="50"/>
        <v>125.4</v>
      </c>
      <c r="S421" s="6" t="str">
        <f t="shared" si="51"/>
        <v>Feb</v>
      </c>
      <c r="T421" s="6">
        <f t="shared" si="52"/>
        <v>2024</v>
      </c>
      <c r="U421" s="6" t="str">
        <f t="shared" si="53"/>
        <v>Delayed</v>
      </c>
      <c r="V421" s="6" t="str">
        <f t="shared" si="54"/>
        <v>Normal</v>
      </c>
      <c r="W421" s="6" t="str">
        <f t="shared" si="55"/>
        <v>No</v>
      </c>
    </row>
    <row r="422" spans="1:23" x14ac:dyDescent="0.3">
      <c r="A422" s="8" t="s">
        <v>756</v>
      </c>
      <c r="B422" s="3">
        <v>45064</v>
      </c>
      <c r="C422" s="2" t="s">
        <v>400</v>
      </c>
      <c r="D422" s="2" t="s">
        <v>401</v>
      </c>
      <c r="E422" s="2" t="s">
        <v>137</v>
      </c>
      <c r="F422" s="2" t="s">
        <v>19</v>
      </c>
      <c r="G422" s="2" t="s">
        <v>47</v>
      </c>
      <c r="H422" s="2" t="s">
        <v>424</v>
      </c>
      <c r="I422" s="2">
        <v>2</v>
      </c>
      <c r="J422" s="2">
        <v>800</v>
      </c>
      <c r="K422" s="2">
        <v>0</v>
      </c>
      <c r="L422" s="2">
        <v>1600</v>
      </c>
      <c r="M422" s="2" t="s">
        <v>71</v>
      </c>
      <c r="N422" s="2" t="s">
        <v>37</v>
      </c>
      <c r="O422" s="2">
        <v>2</v>
      </c>
      <c r="P422" s="6">
        <f t="shared" si="48"/>
        <v>1600</v>
      </c>
      <c r="Q422" s="6">
        <f t="shared" si="49"/>
        <v>0</v>
      </c>
      <c r="R422" s="6">
        <f t="shared" si="50"/>
        <v>320</v>
      </c>
      <c r="S422" s="6" t="str">
        <f t="shared" si="51"/>
        <v>May</v>
      </c>
      <c r="T422" s="6">
        <f t="shared" si="52"/>
        <v>2023</v>
      </c>
      <c r="U422" s="6" t="str">
        <f t="shared" si="53"/>
        <v>Fast</v>
      </c>
      <c r="V422" s="6" t="str">
        <f t="shared" si="54"/>
        <v>Normal</v>
      </c>
      <c r="W422" s="6" t="str">
        <f t="shared" si="55"/>
        <v>No</v>
      </c>
    </row>
    <row r="423" spans="1:23" x14ac:dyDescent="0.3">
      <c r="A423" s="9" t="s">
        <v>757</v>
      </c>
      <c r="B423" s="5">
        <v>45064</v>
      </c>
      <c r="C423" s="4" t="s">
        <v>50</v>
      </c>
      <c r="D423" s="4" t="s">
        <v>51</v>
      </c>
      <c r="E423" s="4" t="s">
        <v>52</v>
      </c>
      <c r="F423" s="4" t="s">
        <v>53</v>
      </c>
      <c r="G423" s="4" t="s">
        <v>28</v>
      </c>
      <c r="H423" s="4" t="s">
        <v>129</v>
      </c>
      <c r="I423" s="4">
        <v>1</v>
      </c>
      <c r="J423" s="4">
        <v>380</v>
      </c>
      <c r="K423" s="4">
        <v>5</v>
      </c>
      <c r="L423" s="4">
        <v>361</v>
      </c>
      <c r="M423" s="4" t="s">
        <v>43</v>
      </c>
      <c r="N423" s="4" t="s">
        <v>31</v>
      </c>
      <c r="O423" s="4">
        <v>4</v>
      </c>
      <c r="P423" s="6">
        <f t="shared" si="48"/>
        <v>380</v>
      </c>
      <c r="Q423" s="6">
        <f t="shared" si="49"/>
        <v>19</v>
      </c>
      <c r="R423" s="6">
        <f t="shared" si="50"/>
        <v>72.2</v>
      </c>
      <c r="S423" s="6" t="str">
        <f t="shared" si="51"/>
        <v>May</v>
      </c>
      <c r="T423" s="6">
        <f t="shared" si="52"/>
        <v>2023</v>
      </c>
      <c r="U423" s="6" t="str">
        <f t="shared" si="53"/>
        <v>Delayed</v>
      </c>
      <c r="V423" s="6" t="str">
        <f t="shared" si="54"/>
        <v>Normal</v>
      </c>
      <c r="W423" s="6" t="str">
        <f t="shared" si="55"/>
        <v>No</v>
      </c>
    </row>
    <row r="424" spans="1:23" x14ac:dyDescent="0.3">
      <c r="A424" s="8" t="s">
        <v>758</v>
      </c>
      <c r="B424" s="3">
        <v>45095</v>
      </c>
      <c r="C424" s="2" t="s">
        <v>135</v>
      </c>
      <c r="D424" s="2" t="s">
        <v>136</v>
      </c>
      <c r="E424" s="2" t="s">
        <v>137</v>
      </c>
      <c r="F424" s="2" t="s">
        <v>19</v>
      </c>
      <c r="G424" s="2" t="s">
        <v>149</v>
      </c>
      <c r="H424" s="2" t="s">
        <v>446</v>
      </c>
      <c r="I424" s="2">
        <v>1</v>
      </c>
      <c r="J424" s="2">
        <v>449</v>
      </c>
      <c r="K424" s="2">
        <v>15</v>
      </c>
      <c r="L424" s="2">
        <v>381.65</v>
      </c>
      <c r="M424" s="2" t="s">
        <v>71</v>
      </c>
      <c r="N424" s="2" t="s">
        <v>31</v>
      </c>
      <c r="O424" s="2">
        <v>5</v>
      </c>
      <c r="P424" s="6">
        <f t="shared" si="48"/>
        <v>449</v>
      </c>
      <c r="Q424" s="6">
        <f t="shared" si="49"/>
        <v>67.349999999999994</v>
      </c>
      <c r="R424" s="6">
        <f t="shared" si="50"/>
        <v>76.33</v>
      </c>
      <c r="S424" s="6" t="str">
        <f t="shared" si="51"/>
        <v>Jun</v>
      </c>
      <c r="T424" s="6">
        <f t="shared" si="52"/>
        <v>2023</v>
      </c>
      <c r="U424" s="6" t="str">
        <f t="shared" si="53"/>
        <v>Delayed</v>
      </c>
      <c r="V424" s="6" t="str">
        <f t="shared" si="54"/>
        <v>Normal</v>
      </c>
      <c r="W424" s="6" t="str">
        <f t="shared" si="55"/>
        <v>Yes</v>
      </c>
    </row>
    <row r="425" spans="1:23" x14ac:dyDescent="0.3">
      <c r="A425" s="9" t="s">
        <v>759</v>
      </c>
      <c r="B425" s="5">
        <v>45379</v>
      </c>
      <c r="C425" s="4" t="s">
        <v>180</v>
      </c>
      <c r="D425" s="4" t="s">
        <v>181</v>
      </c>
      <c r="E425" s="4" t="s">
        <v>35</v>
      </c>
      <c r="F425" s="4" t="s">
        <v>19</v>
      </c>
      <c r="G425" s="4" t="s">
        <v>47</v>
      </c>
      <c r="H425" s="4" t="s">
        <v>209</v>
      </c>
      <c r="I425" s="4">
        <v>3</v>
      </c>
      <c r="J425" s="4">
        <v>450</v>
      </c>
      <c r="K425" s="4">
        <v>0</v>
      </c>
      <c r="L425" s="4">
        <v>1350</v>
      </c>
      <c r="M425" s="4" t="s">
        <v>43</v>
      </c>
      <c r="N425" s="4" t="s">
        <v>37</v>
      </c>
      <c r="O425" s="4">
        <v>3</v>
      </c>
      <c r="P425" s="6">
        <f t="shared" si="48"/>
        <v>1350</v>
      </c>
      <c r="Q425" s="6">
        <f t="shared" si="49"/>
        <v>0</v>
      </c>
      <c r="R425" s="6">
        <f t="shared" si="50"/>
        <v>270</v>
      </c>
      <c r="S425" s="6" t="str">
        <f t="shared" si="51"/>
        <v>Mar</v>
      </c>
      <c r="T425" s="6">
        <f t="shared" si="52"/>
        <v>2024</v>
      </c>
      <c r="U425" s="6" t="str">
        <f t="shared" si="53"/>
        <v>Fast</v>
      </c>
      <c r="V425" s="6" t="str">
        <f t="shared" si="54"/>
        <v>Normal</v>
      </c>
      <c r="W425" s="6" t="str">
        <f t="shared" si="55"/>
        <v>No</v>
      </c>
    </row>
    <row r="426" spans="1:23" x14ac:dyDescent="0.3">
      <c r="A426" s="8" t="s">
        <v>760</v>
      </c>
      <c r="B426" s="3">
        <v>45340</v>
      </c>
      <c r="C426" s="2" t="s">
        <v>61</v>
      </c>
      <c r="D426" s="2" t="s">
        <v>62</v>
      </c>
      <c r="E426" s="2" t="s">
        <v>35</v>
      </c>
      <c r="F426" s="2" t="s">
        <v>19</v>
      </c>
      <c r="G426" s="2" t="s">
        <v>54</v>
      </c>
      <c r="H426" s="2" t="s">
        <v>84</v>
      </c>
      <c r="I426" s="2">
        <v>3</v>
      </c>
      <c r="J426" s="2">
        <v>280</v>
      </c>
      <c r="K426" s="2">
        <v>5</v>
      </c>
      <c r="L426" s="2">
        <v>798</v>
      </c>
      <c r="M426" s="2" t="s">
        <v>43</v>
      </c>
      <c r="N426" s="2" t="s">
        <v>23</v>
      </c>
      <c r="O426" s="2">
        <v>0</v>
      </c>
      <c r="P426" s="6">
        <f t="shared" si="48"/>
        <v>840</v>
      </c>
      <c r="Q426" s="6">
        <f t="shared" si="49"/>
        <v>42</v>
      </c>
      <c r="R426" s="6">
        <f t="shared" si="50"/>
        <v>159.60000000000002</v>
      </c>
      <c r="S426" s="6" t="str">
        <f t="shared" si="51"/>
        <v>Feb</v>
      </c>
      <c r="T426" s="6">
        <f t="shared" si="52"/>
        <v>2024</v>
      </c>
      <c r="U426" s="6" t="str">
        <f t="shared" si="53"/>
        <v>Fast</v>
      </c>
      <c r="V426" s="6" t="str">
        <f t="shared" si="54"/>
        <v>Normal</v>
      </c>
      <c r="W426" s="6" t="str">
        <f t="shared" si="55"/>
        <v>Yes</v>
      </c>
    </row>
    <row r="427" spans="1:23" x14ac:dyDescent="0.3">
      <c r="A427" s="9" t="s">
        <v>761</v>
      </c>
      <c r="B427" s="5">
        <v>45346</v>
      </c>
      <c r="C427" s="4" t="s">
        <v>140</v>
      </c>
      <c r="D427" s="4" t="s">
        <v>141</v>
      </c>
      <c r="E427" s="4" t="s">
        <v>68</v>
      </c>
      <c r="F427" s="4" t="s">
        <v>19</v>
      </c>
      <c r="G427" s="4" t="s">
        <v>28</v>
      </c>
      <c r="H427" s="4" t="s">
        <v>300</v>
      </c>
      <c r="I427" s="4">
        <v>4</v>
      </c>
      <c r="J427" s="4">
        <v>320</v>
      </c>
      <c r="K427" s="4">
        <v>0</v>
      </c>
      <c r="L427" s="4">
        <v>1280</v>
      </c>
      <c r="M427" s="4" t="s">
        <v>43</v>
      </c>
      <c r="N427" s="4" t="s">
        <v>37</v>
      </c>
      <c r="O427" s="4">
        <v>5</v>
      </c>
      <c r="P427" s="6">
        <f t="shared" si="48"/>
        <v>1280</v>
      </c>
      <c r="Q427" s="6">
        <f t="shared" si="49"/>
        <v>0</v>
      </c>
      <c r="R427" s="6">
        <f t="shared" si="50"/>
        <v>256</v>
      </c>
      <c r="S427" s="6" t="str">
        <f t="shared" si="51"/>
        <v>Feb</v>
      </c>
      <c r="T427" s="6">
        <f t="shared" si="52"/>
        <v>2024</v>
      </c>
      <c r="U427" s="6" t="str">
        <f t="shared" si="53"/>
        <v>Delayed</v>
      </c>
      <c r="V427" s="6" t="str">
        <f t="shared" si="54"/>
        <v>Normal</v>
      </c>
      <c r="W427" s="6" t="str">
        <f t="shared" si="55"/>
        <v>Yes</v>
      </c>
    </row>
    <row r="428" spans="1:23" x14ac:dyDescent="0.3">
      <c r="A428" s="8" t="s">
        <v>762</v>
      </c>
      <c r="B428" s="3">
        <v>44943</v>
      </c>
      <c r="C428" s="2" t="s">
        <v>441</v>
      </c>
      <c r="D428" s="2" t="s">
        <v>442</v>
      </c>
      <c r="E428" s="2" t="s">
        <v>41</v>
      </c>
      <c r="F428" s="2" t="s">
        <v>19</v>
      </c>
      <c r="G428" s="2" t="s">
        <v>20</v>
      </c>
      <c r="H428" s="2" t="s">
        <v>21</v>
      </c>
      <c r="I428" s="2">
        <v>4</v>
      </c>
      <c r="J428" s="2">
        <v>550</v>
      </c>
      <c r="K428" s="2">
        <v>10</v>
      </c>
      <c r="L428" s="2">
        <v>1980</v>
      </c>
      <c r="M428" s="2" t="s">
        <v>22</v>
      </c>
      <c r="N428" s="2" t="s">
        <v>31</v>
      </c>
      <c r="O428" s="2">
        <v>4</v>
      </c>
      <c r="P428" s="6">
        <f t="shared" si="48"/>
        <v>2200</v>
      </c>
      <c r="Q428" s="6">
        <f t="shared" si="49"/>
        <v>220</v>
      </c>
      <c r="R428" s="6">
        <f t="shared" si="50"/>
        <v>396</v>
      </c>
      <c r="S428" s="6" t="str">
        <f t="shared" si="51"/>
        <v>Jan</v>
      </c>
      <c r="T428" s="6">
        <f t="shared" si="52"/>
        <v>2023</v>
      </c>
      <c r="U428" s="6" t="str">
        <f t="shared" si="53"/>
        <v>Delayed</v>
      </c>
      <c r="V428" s="6" t="str">
        <f t="shared" si="54"/>
        <v>Normal</v>
      </c>
      <c r="W428" s="6" t="str">
        <f t="shared" si="55"/>
        <v>No</v>
      </c>
    </row>
    <row r="429" spans="1:23" x14ac:dyDescent="0.3">
      <c r="A429" s="9" t="s">
        <v>763</v>
      </c>
      <c r="B429" s="5">
        <v>45023</v>
      </c>
      <c r="C429" s="4" t="s">
        <v>318</v>
      </c>
      <c r="D429" s="4" t="s">
        <v>319</v>
      </c>
      <c r="E429" s="4" t="s">
        <v>270</v>
      </c>
      <c r="F429" s="4" t="s">
        <v>19</v>
      </c>
      <c r="G429" s="4" t="s">
        <v>47</v>
      </c>
      <c r="H429" s="4" t="s">
        <v>209</v>
      </c>
      <c r="I429" s="4">
        <v>1</v>
      </c>
      <c r="J429" s="4">
        <v>450</v>
      </c>
      <c r="K429" s="4">
        <v>10</v>
      </c>
      <c r="L429" s="4">
        <v>405</v>
      </c>
      <c r="M429" s="4" t="s">
        <v>143</v>
      </c>
      <c r="N429" s="4" t="s">
        <v>37</v>
      </c>
      <c r="O429" s="4">
        <v>3</v>
      </c>
      <c r="P429" s="6">
        <f t="shared" si="48"/>
        <v>450</v>
      </c>
      <c r="Q429" s="6">
        <f t="shared" si="49"/>
        <v>45</v>
      </c>
      <c r="R429" s="6">
        <f t="shared" si="50"/>
        <v>81</v>
      </c>
      <c r="S429" s="6" t="str">
        <f t="shared" si="51"/>
        <v>Apr</v>
      </c>
      <c r="T429" s="6">
        <f t="shared" si="52"/>
        <v>2023</v>
      </c>
      <c r="U429" s="6" t="str">
        <f t="shared" si="53"/>
        <v>Fast</v>
      </c>
      <c r="V429" s="6" t="str">
        <f t="shared" si="54"/>
        <v>Normal</v>
      </c>
      <c r="W429" s="6" t="str">
        <f t="shared" si="55"/>
        <v>No</v>
      </c>
    </row>
    <row r="430" spans="1:23" x14ac:dyDescent="0.3">
      <c r="A430" s="8" t="s">
        <v>764</v>
      </c>
      <c r="B430" s="3">
        <v>45221</v>
      </c>
      <c r="C430" s="2" t="s">
        <v>196</v>
      </c>
      <c r="D430" s="2" t="s">
        <v>197</v>
      </c>
      <c r="E430" s="2" t="s">
        <v>176</v>
      </c>
      <c r="F430" s="2" t="s">
        <v>177</v>
      </c>
      <c r="G430" s="2" t="s">
        <v>69</v>
      </c>
      <c r="H430" s="2" t="s">
        <v>142</v>
      </c>
      <c r="I430" s="2">
        <v>2</v>
      </c>
      <c r="J430" s="2">
        <v>699</v>
      </c>
      <c r="K430" s="2">
        <v>15</v>
      </c>
      <c r="L430" s="2">
        <v>1188.3</v>
      </c>
      <c r="M430" s="2" t="s">
        <v>43</v>
      </c>
      <c r="N430" s="2" t="s">
        <v>37</v>
      </c>
      <c r="O430" s="2">
        <v>2</v>
      </c>
      <c r="P430" s="6">
        <f t="shared" si="48"/>
        <v>1398</v>
      </c>
      <c r="Q430" s="6">
        <f t="shared" si="49"/>
        <v>209.7</v>
      </c>
      <c r="R430" s="6">
        <f t="shared" si="50"/>
        <v>237.66</v>
      </c>
      <c r="S430" s="6" t="str">
        <f t="shared" si="51"/>
        <v>Oct</v>
      </c>
      <c r="T430" s="6">
        <f t="shared" si="52"/>
        <v>2023</v>
      </c>
      <c r="U430" s="6" t="str">
        <f t="shared" si="53"/>
        <v>Fast</v>
      </c>
      <c r="V430" s="6" t="str">
        <f t="shared" si="54"/>
        <v>Normal</v>
      </c>
      <c r="W430" s="6" t="str">
        <f t="shared" si="55"/>
        <v>Yes</v>
      </c>
    </row>
    <row r="431" spans="1:23" x14ac:dyDescent="0.3">
      <c r="A431" s="9" t="s">
        <v>765</v>
      </c>
      <c r="B431" s="5">
        <v>45060</v>
      </c>
      <c r="C431" s="4" t="s">
        <v>169</v>
      </c>
      <c r="D431" s="4" t="s">
        <v>170</v>
      </c>
      <c r="E431" s="4" t="s">
        <v>171</v>
      </c>
      <c r="F431" s="4" t="s">
        <v>19</v>
      </c>
      <c r="G431" s="4" t="s">
        <v>69</v>
      </c>
      <c r="H431" s="4" t="s">
        <v>254</v>
      </c>
      <c r="I431" s="4">
        <v>1</v>
      </c>
      <c r="J431" s="4">
        <v>499</v>
      </c>
      <c r="K431" s="4">
        <v>0</v>
      </c>
      <c r="L431" s="4">
        <v>499</v>
      </c>
      <c r="M431" s="4" t="s">
        <v>71</v>
      </c>
      <c r="N431" s="4" t="s">
        <v>37</v>
      </c>
      <c r="O431" s="4">
        <v>5</v>
      </c>
      <c r="P431" s="6">
        <f t="shared" si="48"/>
        <v>499</v>
      </c>
      <c r="Q431" s="6">
        <f t="shared" si="49"/>
        <v>0</v>
      </c>
      <c r="R431" s="6">
        <f t="shared" si="50"/>
        <v>99.800000000000011</v>
      </c>
      <c r="S431" s="6" t="str">
        <f t="shared" si="51"/>
        <v>May</v>
      </c>
      <c r="T431" s="6">
        <f t="shared" si="52"/>
        <v>2023</v>
      </c>
      <c r="U431" s="6" t="str">
        <f t="shared" si="53"/>
        <v>Delayed</v>
      </c>
      <c r="V431" s="6" t="str">
        <f t="shared" si="54"/>
        <v>Normal</v>
      </c>
      <c r="W431" s="6" t="str">
        <f t="shared" si="55"/>
        <v>Yes</v>
      </c>
    </row>
    <row r="432" spans="1:23" x14ac:dyDescent="0.3">
      <c r="A432" s="8" t="s">
        <v>766</v>
      </c>
      <c r="B432" s="3">
        <v>45038</v>
      </c>
      <c r="C432" s="2" t="s">
        <v>735</v>
      </c>
      <c r="D432" s="2" t="s">
        <v>401</v>
      </c>
      <c r="E432" s="2" t="s">
        <v>299</v>
      </c>
      <c r="F432" s="2" t="s">
        <v>19</v>
      </c>
      <c r="G432" s="2" t="s">
        <v>54</v>
      </c>
      <c r="H432" s="2" t="s">
        <v>413</v>
      </c>
      <c r="I432" s="2">
        <v>2</v>
      </c>
      <c r="J432" s="2">
        <v>350</v>
      </c>
      <c r="K432" s="2">
        <v>5</v>
      </c>
      <c r="L432" s="2">
        <v>665</v>
      </c>
      <c r="M432" s="2" t="s">
        <v>30</v>
      </c>
      <c r="N432" s="2" t="s">
        <v>37</v>
      </c>
      <c r="O432" s="2">
        <v>4</v>
      </c>
      <c r="P432" s="6">
        <f t="shared" si="48"/>
        <v>700</v>
      </c>
      <c r="Q432" s="6">
        <f t="shared" si="49"/>
        <v>35</v>
      </c>
      <c r="R432" s="6">
        <f t="shared" si="50"/>
        <v>133</v>
      </c>
      <c r="S432" s="6" t="str">
        <f t="shared" si="51"/>
        <v>Apr</v>
      </c>
      <c r="T432" s="6">
        <f t="shared" si="52"/>
        <v>2023</v>
      </c>
      <c r="U432" s="6" t="str">
        <f t="shared" si="53"/>
        <v>Delayed</v>
      </c>
      <c r="V432" s="6" t="str">
        <f t="shared" si="54"/>
        <v>Normal</v>
      </c>
      <c r="W432" s="6" t="str">
        <f t="shared" si="55"/>
        <v>Yes</v>
      </c>
    </row>
    <row r="433" spans="1:23" x14ac:dyDescent="0.3">
      <c r="A433" s="9" t="s">
        <v>767</v>
      </c>
      <c r="B433" s="5">
        <v>45260</v>
      </c>
      <c r="C433" s="4" t="s">
        <v>118</v>
      </c>
      <c r="D433" s="4" t="s">
        <v>119</v>
      </c>
      <c r="E433" s="4" t="s">
        <v>35</v>
      </c>
      <c r="F433" s="4" t="s">
        <v>19</v>
      </c>
      <c r="G433" s="4" t="s">
        <v>28</v>
      </c>
      <c r="H433" s="4" t="s">
        <v>322</v>
      </c>
      <c r="I433" s="4">
        <v>2</v>
      </c>
      <c r="J433" s="4">
        <v>140</v>
      </c>
      <c r="K433" s="4">
        <v>5</v>
      </c>
      <c r="L433" s="4">
        <v>266</v>
      </c>
      <c r="M433" s="4" t="s">
        <v>143</v>
      </c>
      <c r="N433" s="4" t="s">
        <v>64</v>
      </c>
      <c r="O433" s="4">
        <v>2</v>
      </c>
      <c r="P433" s="6">
        <f t="shared" si="48"/>
        <v>280</v>
      </c>
      <c r="Q433" s="6">
        <f t="shared" si="49"/>
        <v>14</v>
      </c>
      <c r="R433" s="6">
        <f t="shared" si="50"/>
        <v>53.2</v>
      </c>
      <c r="S433" s="6" t="str">
        <f t="shared" si="51"/>
        <v>Nov</v>
      </c>
      <c r="T433" s="6">
        <f t="shared" si="52"/>
        <v>2023</v>
      </c>
      <c r="U433" s="6" t="str">
        <f t="shared" si="53"/>
        <v>Fast</v>
      </c>
      <c r="V433" s="6" t="str">
        <f t="shared" si="54"/>
        <v>Normal</v>
      </c>
      <c r="W433" s="6" t="str">
        <f t="shared" si="55"/>
        <v>No</v>
      </c>
    </row>
    <row r="434" spans="1:23" x14ac:dyDescent="0.3">
      <c r="A434" s="8" t="s">
        <v>768</v>
      </c>
      <c r="B434" s="3">
        <v>45047</v>
      </c>
      <c r="C434" s="2" t="s">
        <v>57</v>
      </c>
      <c r="D434" s="2" t="s">
        <v>58</v>
      </c>
      <c r="E434" s="2" t="s">
        <v>18</v>
      </c>
      <c r="F434" s="2" t="s">
        <v>19</v>
      </c>
      <c r="G434" s="2" t="s">
        <v>20</v>
      </c>
      <c r="H434" s="2" t="s">
        <v>21</v>
      </c>
      <c r="I434" s="2">
        <v>4</v>
      </c>
      <c r="J434" s="2">
        <v>550</v>
      </c>
      <c r="K434" s="2">
        <v>15</v>
      </c>
      <c r="L434" s="2">
        <v>1870</v>
      </c>
      <c r="M434" s="2" t="s">
        <v>107</v>
      </c>
      <c r="N434" s="2" t="s">
        <v>37</v>
      </c>
      <c r="O434" s="2">
        <v>1</v>
      </c>
      <c r="P434" s="6">
        <f t="shared" si="48"/>
        <v>2200</v>
      </c>
      <c r="Q434" s="6">
        <f t="shared" si="49"/>
        <v>330</v>
      </c>
      <c r="R434" s="6">
        <f t="shared" si="50"/>
        <v>374</v>
      </c>
      <c r="S434" s="6" t="str">
        <f t="shared" si="51"/>
        <v>May</v>
      </c>
      <c r="T434" s="6">
        <f t="shared" si="52"/>
        <v>2023</v>
      </c>
      <c r="U434" s="6" t="str">
        <f t="shared" si="53"/>
        <v>Fast</v>
      </c>
      <c r="V434" s="6" t="str">
        <f t="shared" si="54"/>
        <v>Normal</v>
      </c>
      <c r="W434" s="6" t="str">
        <f t="shared" si="55"/>
        <v>No</v>
      </c>
    </row>
    <row r="435" spans="1:23" x14ac:dyDescent="0.3">
      <c r="A435" s="9" t="s">
        <v>769</v>
      </c>
      <c r="B435" s="5">
        <v>45428</v>
      </c>
      <c r="C435" s="4" t="s">
        <v>397</v>
      </c>
      <c r="D435" s="4" t="s">
        <v>398</v>
      </c>
      <c r="E435" s="4" t="s">
        <v>299</v>
      </c>
      <c r="F435" s="4" t="s">
        <v>19</v>
      </c>
      <c r="G435" s="4" t="s">
        <v>47</v>
      </c>
      <c r="H435" s="4" t="s">
        <v>209</v>
      </c>
      <c r="I435" s="4">
        <v>2</v>
      </c>
      <c r="J435" s="4">
        <v>450</v>
      </c>
      <c r="K435" s="4">
        <v>0</v>
      </c>
      <c r="L435" s="4">
        <v>900</v>
      </c>
      <c r="M435" s="4" t="s">
        <v>22</v>
      </c>
      <c r="N435" s="4" t="s">
        <v>37</v>
      </c>
      <c r="O435" s="4">
        <v>9</v>
      </c>
      <c r="P435" s="6">
        <f t="shared" si="48"/>
        <v>900</v>
      </c>
      <c r="Q435" s="6">
        <f t="shared" si="49"/>
        <v>0</v>
      </c>
      <c r="R435" s="6">
        <f t="shared" si="50"/>
        <v>180</v>
      </c>
      <c r="S435" s="6" t="str">
        <f t="shared" si="51"/>
        <v>May</v>
      </c>
      <c r="T435" s="6">
        <f t="shared" si="52"/>
        <v>2024</v>
      </c>
      <c r="U435" s="6" t="str">
        <f t="shared" si="53"/>
        <v>Delayed</v>
      </c>
      <c r="V435" s="6" t="str">
        <f t="shared" si="54"/>
        <v>Normal</v>
      </c>
      <c r="W435" s="6" t="str">
        <f t="shared" si="55"/>
        <v>No</v>
      </c>
    </row>
    <row r="436" spans="1:23" x14ac:dyDescent="0.3">
      <c r="A436" s="8" t="s">
        <v>770</v>
      </c>
      <c r="B436" s="3">
        <v>45251</v>
      </c>
      <c r="C436" s="2" t="s">
        <v>386</v>
      </c>
      <c r="D436" s="2" t="s">
        <v>387</v>
      </c>
      <c r="E436" s="2" t="s">
        <v>260</v>
      </c>
      <c r="F436" s="2" t="s">
        <v>19</v>
      </c>
      <c r="G436" s="2" t="s">
        <v>28</v>
      </c>
      <c r="H436" s="2" t="s">
        <v>98</v>
      </c>
      <c r="I436" s="2">
        <v>2</v>
      </c>
      <c r="J436" s="2">
        <v>220</v>
      </c>
      <c r="K436" s="2">
        <v>10</v>
      </c>
      <c r="L436" s="2">
        <v>396</v>
      </c>
      <c r="M436" s="2" t="s">
        <v>43</v>
      </c>
      <c r="N436" s="2" t="s">
        <v>37</v>
      </c>
      <c r="O436" s="2">
        <v>9</v>
      </c>
      <c r="P436" s="6">
        <f t="shared" si="48"/>
        <v>440</v>
      </c>
      <c r="Q436" s="6">
        <f t="shared" si="49"/>
        <v>44</v>
      </c>
      <c r="R436" s="6">
        <f t="shared" si="50"/>
        <v>79.2</v>
      </c>
      <c r="S436" s="6" t="str">
        <f t="shared" si="51"/>
        <v>Nov</v>
      </c>
      <c r="T436" s="6">
        <f t="shared" si="52"/>
        <v>2023</v>
      </c>
      <c r="U436" s="6" t="str">
        <f t="shared" si="53"/>
        <v>Delayed</v>
      </c>
      <c r="V436" s="6" t="str">
        <f t="shared" si="54"/>
        <v>Normal</v>
      </c>
      <c r="W436" s="6" t="str">
        <f t="shared" si="55"/>
        <v>No</v>
      </c>
    </row>
    <row r="437" spans="1:23" x14ac:dyDescent="0.3">
      <c r="A437" s="9" t="s">
        <v>771</v>
      </c>
      <c r="B437" s="5">
        <v>44995</v>
      </c>
      <c r="C437" s="4" t="s">
        <v>118</v>
      </c>
      <c r="D437" s="4" t="s">
        <v>119</v>
      </c>
      <c r="E437" s="4" t="s">
        <v>35</v>
      </c>
      <c r="F437" s="4" t="s">
        <v>19</v>
      </c>
      <c r="G437" s="4" t="s">
        <v>69</v>
      </c>
      <c r="H437" s="4" t="s">
        <v>254</v>
      </c>
      <c r="I437" s="4">
        <v>3</v>
      </c>
      <c r="J437" s="4">
        <v>499</v>
      </c>
      <c r="K437" s="4">
        <v>5</v>
      </c>
      <c r="L437" s="4">
        <v>1422.15</v>
      </c>
      <c r="M437" s="4" t="s">
        <v>22</v>
      </c>
      <c r="N437" s="4" t="s">
        <v>37</v>
      </c>
      <c r="O437" s="4">
        <v>4</v>
      </c>
      <c r="P437" s="6">
        <f t="shared" si="48"/>
        <v>1497</v>
      </c>
      <c r="Q437" s="6">
        <f t="shared" si="49"/>
        <v>74.850000000000009</v>
      </c>
      <c r="R437" s="6">
        <f t="shared" si="50"/>
        <v>284.43</v>
      </c>
      <c r="S437" s="6" t="str">
        <f t="shared" si="51"/>
        <v>Mar</v>
      </c>
      <c r="T437" s="6">
        <f t="shared" si="52"/>
        <v>2023</v>
      </c>
      <c r="U437" s="6" t="str">
        <f t="shared" si="53"/>
        <v>Delayed</v>
      </c>
      <c r="V437" s="6" t="str">
        <f t="shared" si="54"/>
        <v>Normal</v>
      </c>
      <c r="W437" s="6" t="str">
        <f t="shared" si="55"/>
        <v>No</v>
      </c>
    </row>
    <row r="438" spans="1:23" x14ac:dyDescent="0.3">
      <c r="A438" s="8" t="s">
        <v>772</v>
      </c>
      <c r="B438" s="3">
        <v>45337</v>
      </c>
      <c r="C438" s="2" t="s">
        <v>735</v>
      </c>
      <c r="D438" s="2" t="s">
        <v>401</v>
      </c>
      <c r="E438" s="2" t="s">
        <v>299</v>
      </c>
      <c r="F438" s="2" t="s">
        <v>19</v>
      </c>
      <c r="G438" s="2" t="s">
        <v>20</v>
      </c>
      <c r="H438" s="2" t="s">
        <v>116</v>
      </c>
      <c r="I438" s="2">
        <v>3</v>
      </c>
      <c r="J438" s="2">
        <v>450</v>
      </c>
      <c r="K438" s="2">
        <v>0</v>
      </c>
      <c r="L438" s="2">
        <v>1350</v>
      </c>
      <c r="M438" s="2" t="s">
        <v>71</v>
      </c>
      <c r="N438" s="2" t="s">
        <v>31</v>
      </c>
      <c r="O438" s="2">
        <v>1</v>
      </c>
      <c r="P438" s="6">
        <f t="shared" si="48"/>
        <v>1350</v>
      </c>
      <c r="Q438" s="6">
        <f t="shared" si="49"/>
        <v>0</v>
      </c>
      <c r="R438" s="6">
        <f t="shared" si="50"/>
        <v>270</v>
      </c>
      <c r="S438" s="6" t="str">
        <f t="shared" si="51"/>
        <v>Feb</v>
      </c>
      <c r="T438" s="6">
        <f t="shared" si="52"/>
        <v>2024</v>
      </c>
      <c r="U438" s="6" t="str">
        <f t="shared" si="53"/>
        <v>Fast</v>
      </c>
      <c r="V438" s="6" t="str">
        <f t="shared" si="54"/>
        <v>Normal</v>
      </c>
      <c r="W438" s="6" t="str">
        <f t="shared" si="55"/>
        <v>No</v>
      </c>
    </row>
    <row r="439" spans="1:23" x14ac:dyDescent="0.3">
      <c r="A439" s="9" t="s">
        <v>773</v>
      </c>
      <c r="B439" s="5">
        <v>44965</v>
      </c>
      <c r="C439" s="4" t="s">
        <v>551</v>
      </c>
      <c r="D439" s="4" t="s">
        <v>552</v>
      </c>
      <c r="E439" s="4" t="s">
        <v>18</v>
      </c>
      <c r="F439" s="4" t="s">
        <v>19</v>
      </c>
      <c r="G439" s="4" t="s">
        <v>28</v>
      </c>
      <c r="H439" s="4" t="s">
        <v>167</v>
      </c>
      <c r="I439" s="4">
        <v>1</v>
      </c>
      <c r="J439" s="4">
        <v>280</v>
      </c>
      <c r="K439" s="4">
        <v>0</v>
      </c>
      <c r="L439" s="4">
        <v>280</v>
      </c>
      <c r="M439" s="4" t="s">
        <v>143</v>
      </c>
      <c r="N439" s="4" t="s">
        <v>37</v>
      </c>
      <c r="O439" s="4">
        <v>1</v>
      </c>
      <c r="P439" s="6">
        <f t="shared" si="48"/>
        <v>280</v>
      </c>
      <c r="Q439" s="6">
        <f t="shared" si="49"/>
        <v>0</v>
      </c>
      <c r="R439" s="6">
        <f t="shared" si="50"/>
        <v>56</v>
      </c>
      <c r="S439" s="6" t="str">
        <f t="shared" si="51"/>
        <v>Feb</v>
      </c>
      <c r="T439" s="6">
        <f t="shared" si="52"/>
        <v>2023</v>
      </c>
      <c r="U439" s="6" t="str">
        <f t="shared" si="53"/>
        <v>Fast</v>
      </c>
      <c r="V439" s="6" t="str">
        <f t="shared" si="54"/>
        <v>Normal</v>
      </c>
      <c r="W439" s="6" t="str">
        <f t="shared" si="55"/>
        <v>No</v>
      </c>
    </row>
    <row r="440" spans="1:23" x14ac:dyDescent="0.3">
      <c r="A440" s="8" t="s">
        <v>774</v>
      </c>
      <c r="B440" s="3">
        <v>45124</v>
      </c>
      <c r="C440" s="2" t="s">
        <v>234</v>
      </c>
      <c r="D440" s="2" t="s">
        <v>235</v>
      </c>
      <c r="E440" s="2" t="s">
        <v>52</v>
      </c>
      <c r="F440" s="2" t="s">
        <v>53</v>
      </c>
      <c r="G440" s="2" t="s">
        <v>69</v>
      </c>
      <c r="H440" s="2" t="s">
        <v>274</v>
      </c>
      <c r="I440" s="2">
        <v>4</v>
      </c>
      <c r="J440" s="2">
        <v>1100</v>
      </c>
      <c r="K440" s="2">
        <v>5</v>
      </c>
      <c r="L440" s="2">
        <v>4180</v>
      </c>
      <c r="M440" s="2" t="s">
        <v>143</v>
      </c>
      <c r="N440" s="2" t="s">
        <v>37</v>
      </c>
      <c r="O440" s="2">
        <v>8</v>
      </c>
      <c r="P440" s="6">
        <f t="shared" si="48"/>
        <v>4400</v>
      </c>
      <c r="Q440" s="6">
        <f t="shared" si="49"/>
        <v>220</v>
      </c>
      <c r="R440" s="6">
        <f t="shared" si="50"/>
        <v>836</v>
      </c>
      <c r="S440" s="6" t="str">
        <f t="shared" si="51"/>
        <v>Jul</v>
      </c>
      <c r="T440" s="6">
        <f t="shared" si="52"/>
        <v>2023</v>
      </c>
      <c r="U440" s="6" t="str">
        <f t="shared" si="53"/>
        <v>Delayed</v>
      </c>
      <c r="V440" s="6" t="str">
        <f t="shared" si="54"/>
        <v>Normal</v>
      </c>
      <c r="W440" s="6" t="str">
        <f t="shared" si="55"/>
        <v>No</v>
      </c>
    </row>
    <row r="441" spans="1:23" x14ac:dyDescent="0.3">
      <c r="A441" s="9" t="s">
        <v>775</v>
      </c>
      <c r="B441" s="5">
        <v>45093</v>
      </c>
      <c r="C441" s="4" t="s">
        <v>161</v>
      </c>
      <c r="D441" s="4" t="s">
        <v>162</v>
      </c>
      <c r="E441" s="4" t="s">
        <v>83</v>
      </c>
      <c r="F441" s="4" t="s">
        <v>19</v>
      </c>
      <c r="G441" s="4" t="s">
        <v>126</v>
      </c>
      <c r="H441" s="4" t="s">
        <v>222</v>
      </c>
      <c r="I441" s="4">
        <v>1</v>
      </c>
      <c r="J441" s="4">
        <v>650</v>
      </c>
      <c r="K441" s="4">
        <v>20</v>
      </c>
      <c r="L441" s="4">
        <v>520</v>
      </c>
      <c r="M441" s="4" t="s">
        <v>22</v>
      </c>
      <c r="N441" s="4" t="s">
        <v>31</v>
      </c>
      <c r="O441" s="4">
        <v>4</v>
      </c>
      <c r="P441" s="6">
        <f t="shared" si="48"/>
        <v>650</v>
      </c>
      <c r="Q441" s="6">
        <f t="shared" si="49"/>
        <v>130</v>
      </c>
      <c r="R441" s="6">
        <f t="shared" si="50"/>
        <v>104</v>
      </c>
      <c r="S441" s="6" t="str">
        <f t="shared" si="51"/>
        <v>Jun</v>
      </c>
      <c r="T441" s="6">
        <f t="shared" si="52"/>
        <v>2023</v>
      </c>
      <c r="U441" s="6" t="str">
        <f t="shared" si="53"/>
        <v>Delayed</v>
      </c>
      <c r="V441" s="6" t="str">
        <f t="shared" si="54"/>
        <v>Normal</v>
      </c>
      <c r="W441" s="6" t="str">
        <f t="shared" si="55"/>
        <v>No</v>
      </c>
    </row>
    <row r="442" spans="1:23" x14ac:dyDescent="0.3">
      <c r="A442" s="8" t="s">
        <v>776</v>
      </c>
      <c r="B442" s="3">
        <v>45048</v>
      </c>
      <c r="C442" s="2" t="s">
        <v>563</v>
      </c>
      <c r="D442" s="2" t="s">
        <v>564</v>
      </c>
      <c r="E442" s="2" t="s">
        <v>90</v>
      </c>
      <c r="F442" s="2" t="s">
        <v>19</v>
      </c>
      <c r="G442" s="2" t="s">
        <v>28</v>
      </c>
      <c r="H442" s="2" t="s">
        <v>306</v>
      </c>
      <c r="I442" s="2">
        <v>2</v>
      </c>
      <c r="J442" s="2">
        <v>260</v>
      </c>
      <c r="K442" s="2">
        <v>0</v>
      </c>
      <c r="L442" s="2">
        <v>520</v>
      </c>
      <c r="M442" s="2" t="s">
        <v>30</v>
      </c>
      <c r="N442" s="2" t="s">
        <v>37</v>
      </c>
      <c r="O442" s="2">
        <v>2</v>
      </c>
      <c r="P442" s="6">
        <f t="shared" si="48"/>
        <v>520</v>
      </c>
      <c r="Q442" s="6">
        <f t="shared" si="49"/>
        <v>0</v>
      </c>
      <c r="R442" s="6">
        <f t="shared" si="50"/>
        <v>104</v>
      </c>
      <c r="S442" s="6" t="str">
        <f t="shared" si="51"/>
        <v>May</v>
      </c>
      <c r="T442" s="6">
        <f t="shared" si="52"/>
        <v>2023</v>
      </c>
      <c r="U442" s="6" t="str">
        <f t="shared" si="53"/>
        <v>Fast</v>
      </c>
      <c r="V442" s="6" t="str">
        <f t="shared" si="54"/>
        <v>Normal</v>
      </c>
      <c r="W442" s="6" t="str">
        <f t="shared" si="55"/>
        <v>No</v>
      </c>
    </row>
    <row r="443" spans="1:23" x14ac:dyDescent="0.3">
      <c r="A443" s="9" t="s">
        <v>777</v>
      </c>
      <c r="B443" s="5">
        <v>45234</v>
      </c>
      <c r="C443" s="4" t="s">
        <v>382</v>
      </c>
      <c r="D443" s="4" t="s">
        <v>349</v>
      </c>
      <c r="E443" s="4" t="s">
        <v>35</v>
      </c>
      <c r="F443" s="4" t="s">
        <v>19</v>
      </c>
      <c r="G443" s="4" t="s">
        <v>20</v>
      </c>
      <c r="H443" s="4" t="s">
        <v>327</v>
      </c>
      <c r="I443" s="4">
        <v>4</v>
      </c>
      <c r="J443" s="4">
        <v>950</v>
      </c>
      <c r="K443" s="4">
        <v>0</v>
      </c>
      <c r="L443" s="4">
        <v>3800</v>
      </c>
      <c r="M443" s="4" t="s">
        <v>30</v>
      </c>
      <c r="N443" s="4" t="s">
        <v>31</v>
      </c>
      <c r="O443" s="4">
        <v>5</v>
      </c>
      <c r="P443" s="6">
        <f t="shared" si="48"/>
        <v>3800</v>
      </c>
      <c r="Q443" s="6">
        <f t="shared" si="49"/>
        <v>0</v>
      </c>
      <c r="R443" s="6">
        <f t="shared" si="50"/>
        <v>760</v>
      </c>
      <c r="S443" s="6" t="str">
        <f t="shared" si="51"/>
        <v>Nov</v>
      </c>
      <c r="T443" s="6">
        <f t="shared" si="52"/>
        <v>2023</v>
      </c>
      <c r="U443" s="6" t="str">
        <f t="shared" si="53"/>
        <v>Delayed</v>
      </c>
      <c r="V443" s="6" t="str">
        <f t="shared" si="54"/>
        <v>Normal</v>
      </c>
      <c r="W443" s="6" t="str">
        <f t="shared" si="55"/>
        <v>Yes</v>
      </c>
    </row>
    <row r="444" spans="1:23" x14ac:dyDescent="0.3">
      <c r="A444" s="8" t="s">
        <v>778</v>
      </c>
      <c r="B444" s="3">
        <v>45057</v>
      </c>
      <c r="C444" s="2" t="s">
        <v>363</v>
      </c>
      <c r="D444" s="2" t="s">
        <v>364</v>
      </c>
      <c r="E444" s="2" t="s">
        <v>265</v>
      </c>
      <c r="F444" s="2" t="s">
        <v>266</v>
      </c>
      <c r="G444" s="2" t="s">
        <v>149</v>
      </c>
      <c r="H444" s="2" t="s">
        <v>150</v>
      </c>
      <c r="I444" s="2">
        <v>4</v>
      </c>
      <c r="J444" s="2">
        <v>520</v>
      </c>
      <c r="K444" s="2">
        <v>20</v>
      </c>
      <c r="L444" s="2">
        <v>1664</v>
      </c>
      <c r="M444" s="2" t="s">
        <v>43</v>
      </c>
      <c r="N444" s="2" t="s">
        <v>37</v>
      </c>
      <c r="O444" s="2">
        <v>6</v>
      </c>
      <c r="P444" s="6">
        <f t="shared" si="48"/>
        <v>2080</v>
      </c>
      <c r="Q444" s="6">
        <f t="shared" si="49"/>
        <v>416</v>
      </c>
      <c r="R444" s="6">
        <f t="shared" si="50"/>
        <v>332.8</v>
      </c>
      <c r="S444" s="6" t="str">
        <f t="shared" si="51"/>
        <v>May</v>
      </c>
      <c r="T444" s="6">
        <f t="shared" si="52"/>
        <v>2023</v>
      </c>
      <c r="U444" s="6" t="str">
        <f t="shared" si="53"/>
        <v>Delayed</v>
      </c>
      <c r="V444" s="6" t="str">
        <f t="shared" si="54"/>
        <v>Normal</v>
      </c>
      <c r="W444" s="6" t="str">
        <f t="shared" si="55"/>
        <v>No</v>
      </c>
    </row>
    <row r="445" spans="1:23" x14ac:dyDescent="0.3">
      <c r="A445" s="9" t="s">
        <v>779</v>
      </c>
      <c r="B445" s="5">
        <v>44995</v>
      </c>
      <c r="C445" s="4" t="s">
        <v>294</v>
      </c>
      <c r="D445" s="4" t="s">
        <v>295</v>
      </c>
      <c r="E445" s="4" t="s">
        <v>52</v>
      </c>
      <c r="F445" s="4" t="s">
        <v>53</v>
      </c>
      <c r="G445" s="4" t="s">
        <v>91</v>
      </c>
      <c r="H445" s="4" t="s">
        <v>291</v>
      </c>
      <c r="I445" s="4">
        <v>4</v>
      </c>
      <c r="J445" s="4">
        <v>45000</v>
      </c>
      <c r="K445" s="4">
        <v>5</v>
      </c>
      <c r="L445" s="4">
        <v>171000</v>
      </c>
      <c r="M445" s="4" t="s">
        <v>143</v>
      </c>
      <c r="N445" s="4" t="s">
        <v>37</v>
      </c>
      <c r="O445" s="4">
        <v>7</v>
      </c>
      <c r="P445" s="6">
        <f t="shared" si="48"/>
        <v>180000</v>
      </c>
      <c r="Q445" s="6">
        <f t="shared" si="49"/>
        <v>9000</v>
      </c>
      <c r="R445" s="6">
        <f t="shared" si="50"/>
        <v>34200</v>
      </c>
      <c r="S445" s="6" t="str">
        <f t="shared" si="51"/>
        <v>Mar</v>
      </c>
      <c r="T445" s="6">
        <f t="shared" si="52"/>
        <v>2023</v>
      </c>
      <c r="U445" s="6" t="str">
        <f t="shared" si="53"/>
        <v>Delayed</v>
      </c>
      <c r="V445" s="6" t="str">
        <f t="shared" si="54"/>
        <v>High Value</v>
      </c>
      <c r="W445" s="6" t="str">
        <f t="shared" si="55"/>
        <v>No</v>
      </c>
    </row>
    <row r="446" spans="1:23" x14ac:dyDescent="0.3">
      <c r="A446" s="8" t="s">
        <v>780</v>
      </c>
      <c r="B446" s="3">
        <v>45259</v>
      </c>
      <c r="C446" s="2" t="s">
        <v>289</v>
      </c>
      <c r="D446" s="2" t="s">
        <v>290</v>
      </c>
      <c r="E446" s="2" t="s">
        <v>41</v>
      </c>
      <c r="F446" s="2" t="s">
        <v>19</v>
      </c>
      <c r="G446" s="2" t="s">
        <v>149</v>
      </c>
      <c r="H446" s="2" t="s">
        <v>446</v>
      </c>
      <c r="I446" s="2">
        <v>4</v>
      </c>
      <c r="J446" s="2">
        <v>449</v>
      </c>
      <c r="K446" s="2">
        <v>10</v>
      </c>
      <c r="L446" s="2">
        <v>1616.4</v>
      </c>
      <c r="M446" s="2" t="s">
        <v>22</v>
      </c>
      <c r="N446" s="2" t="s">
        <v>37</v>
      </c>
      <c r="O446" s="2">
        <v>2</v>
      </c>
      <c r="P446" s="6">
        <f t="shared" si="48"/>
        <v>1796</v>
      </c>
      <c r="Q446" s="6">
        <f t="shared" si="49"/>
        <v>179.60000000000002</v>
      </c>
      <c r="R446" s="6">
        <f t="shared" si="50"/>
        <v>323.28000000000003</v>
      </c>
      <c r="S446" s="6" t="str">
        <f t="shared" si="51"/>
        <v>Nov</v>
      </c>
      <c r="T446" s="6">
        <f t="shared" si="52"/>
        <v>2023</v>
      </c>
      <c r="U446" s="6" t="str">
        <f t="shared" si="53"/>
        <v>Fast</v>
      </c>
      <c r="V446" s="6" t="str">
        <f t="shared" si="54"/>
        <v>Normal</v>
      </c>
      <c r="W446" s="6" t="str">
        <f t="shared" si="55"/>
        <v>No</v>
      </c>
    </row>
    <row r="447" spans="1:23" x14ac:dyDescent="0.3">
      <c r="A447" s="9" t="s">
        <v>781</v>
      </c>
      <c r="B447" s="5">
        <v>45168</v>
      </c>
      <c r="C447" s="4" t="s">
        <v>204</v>
      </c>
      <c r="D447" s="4" t="s">
        <v>205</v>
      </c>
      <c r="E447" s="4" t="s">
        <v>35</v>
      </c>
      <c r="F447" s="4" t="s">
        <v>19</v>
      </c>
      <c r="G447" s="4" t="s">
        <v>28</v>
      </c>
      <c r="H447" s="4" t="s">
        <v>300</v>
      </c>
      <c r="I447" s="4">
        <v>3</v>
      </c>
      <c r="J447" s="4">
        <v>320</v>
      </c>
      <c r="K447" s="4">
        <v>20</v>
      </c>
      <c r="L447" s="4">
        <v>768</v>
      </c>
      <c r="M447" s="4" t="s">
        <v>43</v>
      </c>
      <c r="N447" s="4" t="s">
        <v>23</v>
      </c>
      <c r="O447" s="4">
        <v>0</v>
      </c>
      <c r="P447" s="6">
        <f t="shared" si="48"/>
        <v>960</v>
      </c>
      <c r="Q447" s="6">
        <f t="shared" si="49"/>
        <v>192</v>
      </c>
      <c r="R447" s="6">
        <f t="shared" si="50"/>
        <v>153.60000000000002</v>
      </c>
      <c r="S447" s="6" t="str">
        <f t="shared" si="51"/>
        <v>Aug</v>
      </c>
      <c r="T447" s="6">
        <f t="shared" si="52"/>
        <v>2023</v>
      </c>
      <c r="U447" s="6" t="str">
        <f t="shared" si="53"/>
        <v>Fast</v>
      </c>
      <c r="V447" s="6" t="str">
        <f t="shared" si="54"/>
        <v>Normal</v>
      </c>
      <c r="W447" s="6" t="str">
        <f t="shared" si="55"/>
        <v>No</v>
      </c>
    </row>
    <row r="448" spans="1:23" x14ac:dyDescent="0.3">
      <c r="A448" s="8" t="s">
        <v>782</v>
      </c>
      <c r="B448" s="3">
        <v>45445</v>
      </c>
      <c r="C448" s="2" t="s">
        <v>258</v>
      </c>
      <c r="D448" s="2" t="s">
        <v>259</v>
      </c>
      <c r="E448" s="2" t="s">
        <v>260</v>
      </c>
      <c r="F448" s="2" t="s">
        <v>19</v>
      </c>
      <c r="G448" s="2" t="s">
        <v>54</v>
      </c>
      <c r="H448" s="2" t="s">
        <v>84</v>
      </c>
      <c r="I448" s="2">
        <v>4</v>
      </c>
      <c r="J448" s="2">
        <v>280</v>
      </c>
      <c r="K448" s="2">
        <v>5</v>
      </c>
      <c r="L448" s="2">
        <v>1064</v>
      </c>
      <c r="M448" s="2" t="s">
        <v>107</v>
      </c>
      <c r="N448" s="2" t="s">
        <v>31</v>
      </c>
      <c r="O448" s="2">
        <v>3</v>
      </c>
      <c r="P448" s="6">
        <f t="shared" si="48"/>
        <v>1120</v>
      </c>
      <c r="Q448" s="6">
        <f t="shared" si="49"/>
        <v>56</v>
      </c>
      <c r="R448" s="6">
        <f t="shared" si="50"/>
        <v>212.8</v>
      </c>
      <c r="S448" s="6" t="str">
        <f t="shared" si="51"/>
        <v>Jun</v>
      </c>
      <c r="T448" s="6">
        <f t="shared" si="52"/>
        <v>2024</v>
      </c>
      <c r="U448" s="6" t="str">
        <f t="shared" si="53"/>
        <v>Fast</v>
      </c>
      <c r="V448" s="6" t="str">
        <f t="shared" si="54"/>
        <v>Normal</v>
      </c>
      <c r="W448" s="6" t="str">
        <f t="shared" si="55"/>
        <v>Yes</v>
      </c>
    </row>
    <row r="449" spans="1:23" x14ac:dyDescent="0.3">
      <c r="A449" s="9" t="s">
        <v>783</v>
      </c>
      <c r="B449" s="5">
        <v>45279</v>
      </c>
      <c r="C449" s="4" t="s">
        <v>382</v>
      </c>
      <c r="D449" s="4" t="s">
        <v>349</v>
      </c>
      <c r="E449" s="4" t="s">
        <v>35</v>
      </c>
      <c r="F449" s="4" t="s">
        <v>19</v>
      </c>
      <c r="G449" s="4" t="s">
        <v>126</v>
      </c>
      <c r="H449" s="4" t="s">
        <v>409</v>
      </c>
      <c r="I449" s="4">
        <v>4</v>
      </c>
      <c r="J449" s="4">
        <v>1800</v>
      </c>
      <c r="K449" s="4">
        <v>0</v>
      </c>
      <c r="L449" s="4">
        <v>7200</v>
      </c>
      <c r="M449" s="4" t="s">
        <v>22</v>
      </c>
      <c r="N449" s="4" t="s">
        <v>37</v>
      </c>
      <c r="O449" s="4">
        <v>3</v>
      </c>
      <c r="P449" s="6">
        <f t="shared" si="48"/>
        <v>7200</v>
      </c>
      <c r="Q449" s="6">
        <f t="shared" si="49"/>
        <v>0</v>
      </c>
      <c r="R449" s="6">
        <f t="shared" si="50"/>
        <v>1440</v>
      </c>
      <c r="S449" s="6" t="str">
        <f t="shared" si="51"/>
        <v>Dec</v>
      </c>
      <c r="T449" s="6">
        <f t="shared" si="52"/>
        <v>2023</v>
      </c>
      <c r="U449" s="6" t="str">
        <f t="shared" si="53"/>
        <v>Fast</v>
      </c>
      <c r="V449" s="6" t="str">
        <f t="shared" si="54"/>
        <v>High Value</v>
      </c>
      <c r="W449" s="6" t="str">
        <f t="shared" si="55"/>
        <v>No</v>
      </c>
    </row>
    <row r="450" spans="1:23" x14ac:dyDescent="0.3">
      <c r="A450" s="8" t="s">
        <v>784</v>
      </c>
      <c r="B450" s="3">
        <v>45400</v>
      </c>
      <c r="C450" s="2" t="s">
        <v>394</v>
      </c>
      <c r="D450" s="2" t="s">
        <v>395</v>
      </c>
      <c r="E450" s="2" t="s">
        <v>83</v>
      </c>
      <c r="F450" s="2" t="s">
        <v>19</v>
      </c>
      <c r="G450" s="2" t="s">
        <v>69</v>
      </c>
      <c r="H450" s="2" t="s">
        <v>431</v>
      </c>
      <c r="I450" s="2">
        <v>3</v>
      </c>
      <c r="J450" s="2">
        <v>1400</v>
      </c>
      <c r="K450" s="2">
        <v>20</v>
      </c>
      <c r="L450" s="2">
        <v>3360</v>
      </c>
      <c r="M450" s="2" t="s">
        <v>107</v>
      </c>
      <c r="N450" s="2" t="s">
        <v>31</v>
      </c>
      <c r="O450" s="2">
        <v>5</v>
      </c>
      <c r="P450" s="6">
        <f t="shared" si="48"/>
        <v>4200</v>
      </c>
      <c r="Q450" s="6">
        <f t="shared" si="49"/>
        <v>840</v>
      </c>
      <c r="R450" s="6">
        <f t="shared" si="50"/>
        <v>672</v>
      </c>
      <c r="S450" s="6" t="str">
        <f t="shared" si="51"/>
        <v>Apr</v>
      </c>
      <c r="T450" s="6">
        <f t="shared" si="52"/>
        <v>2024</v>
      </c>
      <c r="U450" s="6" t="str">
        <f t="shared" si="53"/>
        <v>Delayed</v>
      </c>
      <c r="V450" s="6" t="str">
        <f t="shared" si="54"/>
        <v>Normal</v>
      </c>
      <c r="W450" s="6" t="str">
        <f t="shared" si="55"/>
        <v>No</v>
      </c>
    </row>
    <row r="451" spans="1:23" x14ac:dyDescent="0.3">
      <c r="A451" s="9" t="s">
        <v>785</v>
      </c>
      <c r="B451" s="5">
        <v>45059</v>
      </c>
      <c r="C451" s="4" t="s">
        <v>238</v>
      </c>
      <c r="D451" s="4" t="s">
        <v>239</v>
      </c>
      <c r="E451" s="4" t="s">
        <v>68</v>
      </c>
      <c r="F451" s="4" t="s">
        <v>19</v>
      </c>
      <c r="G451" s="4" t="s">
        <v>149</v>
      </c>
      <c r="H451" s="4" t="s">
        <v>182</v>
      </c>
      <c r="I451" s="4">
        <v>2</v>
      </c>
      <c r="J451" s="4">
        <v>180</v>
      </c>
      <c r="K451" s="4">
        <v>0</v>
      </c>
      <c r="L451" s="4">
        <v>360</v>
      </c>
      <c r="M451" s="4" t="s">
        <v>22</v>
      </c>
      <c r="N451" s="4" t="s">
        <v>23</v>
      </c>
      <c r="O451" s="4">
        <v>0</v>
      </c>
      <c r="P451" s="6">
        <f t="shared" ref="P451:P501" si="56">I451*J451</f>
        <v>360</v>
      </c>
      <c r="Q451" s="6">
        <f t="shared" ref="Q451:Q501" si="57">P451*(K451/100)</f>
        <v>0</v>
      </c>
      <c r="R451" s="6">
        <f t="shared" ref="R451:R501" si="58">L451*0.2</f>
        <v>72</v>
      </c>
      <c r="S451" s="6" t="str">
        <f t="shared" ref="S451:S501" si="59">TEXT(B451,"MMM")</f>
        <v>May</v>
      </c>
      <c r="T451" s="6">
        <f t="shared" ref="T451:T501" si="60">YEAR(B451)</f>
        <v>2023</v>
      </c>
      <c r="U451" s="6" t="str">
        <f t="shared" ref="U451:U501" si="61">IF(O451&lt;=3,"Fast","Delayed")</f>
        <v>Fast</v>
      </c>
      <c r="V451" s="6" t="str">
        <f t="shared" ref="V451:V501" si="62">IF(L451&gt;5000,"High Value","Normal")</f>
        <v>Normal</v>
      </c>
      <c r="W451" s="6" t="str">
        <f t="shared" ref="W451:W501" si="63">IF(WEEKDAY(B451,2)&gt;5,"Yes","No")</f>
        <v>Yes</v>
      </c>
    </row>
    <row r="452" spans="1:23" x14ac:dyDescent="0.3">
      <c r="A452" s="8" t="s">
        <v>786</v>
      </c>
      <c r="B452" s="3">
        <v>45337</v>
      </c>
      <c r="C452" s="2" t="s">
        <v>263</v>
      </c>
      <c r="D452" s="2" t="s">
        <v>264</v>
      </c>
      <c r="E452" s="2" t="s">
        <v>265</v>
      </c>
      <c r="F452" s="2" t="s">
        <v>266</v>
      </c>
      <c r="G452" s="2" t="s">
        <v>28</v>
      </c>
      <c r="H452" s="2" t="s">
        <v>129</v>
      </c>
      <c r="I452" s="2">
        <v>4</v>
      </c>
      <c r="J452" s="2">
        <v>380</v>
      </c>
      <c r="K452" s="2">
        <v>5</v>
      </c>
      <c r="L452" s="2">
        <v>1444</v>
      </c>
      <c r="M452" s="2" t="s">
        <v>71</v>
      </c>
      <c r="N452" s="2" t="s">
        <v>23</v>
      </c>
      <c r="O452" s="2">
        <v>0</v>
      </c>
      <c r="P452" s="6">
        <f t="shared" si="56"/>
        <v>1520</v>
      </c>
      <c r="Q452" s="6">
        <f t="shared" si="57"/>
        <v>76</v>
      </c>
      <c r="R452" s="6">
        <f t="shared" si="58"/>
        <v>288.8</v>
      </c>
      <c r="S452" s="6" t="str">
        <f t="shared" si="59"/>
        <v>Feb</v>
      </c>
      <c r="T452" s="6">
        <f t="shared" si="60"/>
        <v>2024</v>
      </c>
      <c r="U452" s="6" t="str">
        <f t="shared" si="61"/>
        <v>Fast</v>
      </c>
      <c r="V452" s="6" t="str">
        <f t="shared" si="62"/>
        <v>Normal</v>
      </c>
      <c r="W452" s="6" t="str">
        <f t="shared" si="63"/>
        <v>No</v>
      </c>
    </row>
    <row r="453" spans="1:23" x14ac:dyDescent="0.3">
      <c r="A453" s="9" t="s">
        <v>787</v>
      </c>
      <c r="B453" s="5">
        <v>45110</v>
      </c>
      <c r="C453" s="4" t="s">
        <v>382</v>
      </c>
      <c r="D453" s="4" t="s">
        <v>349</v>
      </c>
      <c r="E453" s="4" t="s">
        <v>35</v>
      </c>
      <c r="F453" s="4" t="s">
        <v>19</v>
      </c>
      <c r="G453" s="4" t="s">
        <v>54</v>
      </c>
      <c r="H453" s="4" t="s">
        <v>467</v>
      </c>
      <c r="I453" s="4">
        <v>2</v>
      </c>
      <c r="J453" s="4">
        <v>220</v>
      </c>
      <c r="K453" s="4">
        <v>5</v>
      </c>
      <c r="L453" s="4">
        <v>418</v>
      </c>
      <c r="M453" s="4" t="s">
        <v>43</v>
      </c>
      <c r="N453" s="4" t="s">
        <v>37</v>
      </c>
      <c r="O453" s="4">
        <v>9</v>
      </c>
      <c r="P453" s="6">
        <f t="shared" si="56"/>
        <v>440</v>
      </c>
      <c r="Q453" s="6">
        <f t="shared" si="57"/>
        <v>22</v>
      </c>
      <c r="R453" s="6">
        <f t="shared" si="58"/>
        <v>83.600000000000009</v>
      </c>
      <c r="S453" s="6" t="str">
        <f t="shared" si="59"/>
        <v>Jul</v>
      </c>
      <c r="T453" s="6">
        <f t="shared" si="60"/>
        <v>2023</v>
      </c>
      <c r="U453" s="6" t="str">
        <f t="shared" si="61"/>
        <v>Delayed</v>
      </c>
      <c r="V453" s="6" t="str">
        <f t="shared" si="62"/>
        <v>Normal</v>
      </c>
      <c r="W453" s="6" t="str">
        <f t="shared" si="63"/>
        <v>No</v>
      </c>
    </row>
    <row r="454" spans="1:23" x14ac:dyDescent="0.3">
      <c r="A454" s="8" t="s">
        <v>788</v>
      </c>
      <c r="B454" s="3">
        <v>44957</v>
      </c>
      <c r="C454" s="2" t="s">
        <v>66</v>
      </c>
      <c r="D454" s="2" t="s">
        <v>67</v>
      </c>
      <c r="E454" s="2" t="s">
        <v>68</v>
      </c>
      <c r="F454" s="2" t="s">
        <v>19</v>
      </c>
      <c r="G454" s="2" t="s">
        <v>28</v>
      </c>
      <c r="H454" s="2" t="s">
        <v>306</v>
      </c>
      <c r="I454" s="2">
        <v>4</v>
      </c>
      <c r="J454" s="2">
        <v>260</v>
      </c>
      <c r="K454" s="2">
        <v>15</v>
      </c>
      <c r="L454" s="2">
        <v>884</v>
      </c>
      <c r="M454" s="2" t="s">
        <v>143</v>
      </c>
      <c r="N454" s="2" t="s">
        <v>37</v>
      </c>
      <c r="O454" s="2">
        <v>5</v>
      </c>
      <c r="P454" s="6">
        <f t="shared" si="56"/>
        <v>1040</v>
      </c>
      <c r="Q454" s="6">
        <f t="shared" si="57"/>
        <v>156</v>
      </c>
      <c r="R454" s="6">
        <f t="shared" si="58"/>
        <v>176.8</v>
      </c>
      <c r="S454" s="6" t="str">
        <f t="shared" si="59"/>
        <v>Jan</v>
      </c>
      <c r="T454" s="6">
        <f t="shared" si="60"/>
        <v>2023</v>
      </c>
      <c r="U454" s="6" t="str">
        <f t="shared" si="61"/>
        <v>Delayed</v>
      </c>
      <c r="V454" s="6" t="str">
        <f t="shared" si="62"/>
        <v>Normal</v>
      </c>
      <c r="W454" s="6" t="str">
        <f t="shared" si="63"/>
        <v>No</v>
      </c>
    </row>
    <row r="455" spans="1:23" x14ac:dyDescent="0.3">
      <c r="A455" s="9" t="s">
        <v>789</v>
      </c>
      <c r="B455" s="5">
        <v>45088</v>
      </c>
      <c r="C455" s="4" t="s">
        <v>330</v>
      </c>
      <c r="D455" s="4" t="s">
        <v>331</v>
      </c>
      <c r="E455" s="4" t="s">
        <v>176</v>
      </c>
      <c r="F455" s="4" t="s">
        <v>177</v>
      </c>
      <c r="G455" s="4" t="s">
        <v>91</v>
      </c>
      <c r="H455" s="4" t="s">
        <v>291</v>
      </c>
      <c r="I455" s="4">
        <v>3</v>
      </c>
      <c r="J455" s="4">
        <v>45000</v>
      </c>
      <c r="K455" s="4">
        <v>5</v>
      </c>
      <c r="L455" s="4">
        <v>128250</v>
      </c>
      <c r="M455" s="4" t="s">
        <v>43</v>
      </c>
      <c r="N455" s="4" t="s">
        <v>37</v>
      </c>
      <c r="O455" s="4">
        <v>4</v>
      </c>
      <c r="P455" s="6">
        <f t="shared" si="56"/>
        <v>135000</v>
      </c>
      <c r="Q455" s="6">
        <f t="shared" si="57"/>
        <v>6750</v>
      </c>
      <c r="R455" s="6">
        <f t="shared" si="58"/>
        <v>25650</v>
      </c>
      <c r="S455" s="6" t="str">
        <f t="shared" si="59"/>
        <v>Jun</v>
      </c>
      <c r="T455" s="6">
        <f t="shared" si="60"/>
        <v>2023</v>
      </c>
      <c r="U455" s="6" t="str">
        <f t="shared" si="61"/>
        <v>Delayed</v>
      </c>
      <c r="V455" s="6" t="str">
        <f t="shared" si="62"/>
        <v>High Value</v>
      </c>
      <c r="W455" s="6" t="str">
        <f t="shared" si="63"/>
        <v>Yes</v>
      </c>
    </row>
    <row r="456" spans="1:23" x14ac:dyDescent="0.3">
      <c r="A456" s="8" t="s">
        <v>790</v>
      </c>
      <c r="B456" s="3">
        <v>44965</v>
      </c>
      <c r="C456" s="2" t="s">
        <v>373</v>
      </c>
      <c r="D456" s="2" t="s">
        <v>374</v>
      </c>
      <c r="E456" s="2" t="s">
        <v>171</v>
      </c>
      <c r="F456" s="2" t="s">
        <v>19</v>
      </c>
      <c r="G456" s="2" t="s">
        <v>54</v>
      </c>
      <c r="H456" s="2" t="s">
        <v>172</v>
      </c>
      <c r="I456" s="2">
        <v>1</v>
      </c>
      <c r="J456" s="2">
        <v>130</v>
      </c>
      <c r="K456" s="2">
        <v>10</v>
      </c>
      <c r="L456" s="2">
        <v>117</v>
      </c>
      <c r="M456" s="2" t="s">
        <v>43</v>
      </c>
      <c r="N456" s="2" t="s">
        <v>31</v>
      </c>
      <c r="O456" s="2">
        <v>5</v>
      </c>
      <c r="P456" s="6">
        <f t="shared" si="56"/>
        <v>130</v>
      </c>
      <c r="Q456" s="6">
        <f t="shared" si="57"/>
        <v>13</v>
      </c>
      <c r="R456" s="6">
        <f t="shared" si="58"/>
        <v>23.400000000000002</v>
      </c>
      <c r="S456" s="6" t="str">
        <f t="shared" si="59"/>
        <v>Feb</v>
      </c>
      <c r="T456" s="6">
        <f t="shared" si="60"/>
        <v>2023</v>
      </c>
      <c r="U456" s="6" t="str">
        <f t="shared" si="61"/>
        <v>Delayed</v>
      </c>
      <c r="V456" s="6" t="str">
        <f t="shared" si="62"/>
        <v>Normal</v>
      </c>
      <c r="W456" s="6" t="str">
        <f t="shared" si="63"/>
        <v>No</v>
      </c>
    </row>
    <row r="457" spans="1:23" x14ac:dyDescent="0.3">
      <c r="A457" s="9" t="s">
        <v>791</v>
      </c>
      <c r="B457" s="5">
        <v>45174</v>
      </c>
      <c r="C457" s="4" t="s">
        <v>61</v>
      </c>
      <c r="D457" s="4" t="s">
        <v>62</v>
      </c>
      <c r="E457" s="4" t="s">
        <v>35</v>
      </c>
      <c r="F457" s="4" t="s">
        <v>19</v>
      </c>
      <c r="G457" s="4" t="s">
        <v>20</v>
      </c>
      <c r="H457" s="4" t="s">
        <v>42</v>
      </c>
      <c r="I457" s="4">
        <v>1</v>
      </c>
      <c r="J457" s="4">
        <v>1100</v>
      </c>
      <c r="K457" s="4">
        <v>5</v>
      </c>
      <c r="L457" s="4">
        <v>1045</v>
      </c>
      <c r="M457" s="4" t="s">
        <v>107</v>
      </c>
      <c r="N457" s="4" t="s">
        <v>37</v>
      </c>
      <c r="O457" s="4">
        <v>6</v>
      </c>
      <c r="P457" s="6">
        <f t="shared" si="56"/>
        <v>1100</v>
      </c>
      <c r="Q457" s="6">
        <f t="shared" si="57"/>
        <v>55</v>
      </c>
      <c r="R457" s="6">
        <f t="shared" si="58"/>
        <v>209</v>
      </c>
      <c r="S457" s="6" t="str">
        <f t="shared" si="59"/>
        <v>Sep</v>
      </c>
      <c r="T457" s="6">
        <f t="shared" si="60"/>
        <v>2023</v>
      </c>
      <c r="U457" s="6" t="str">
        <f t="shared" si="61"/>
        <v>Delayed</v>
      </c>
      <c r="V457" s="6" t="str">
        <f t="shared" si="62"/>
        <v>Normal</v>
      </c>
      <c r="W457" s="6" t="str">
        <f t="shared" si="63"/>
        <v>No</v>
      </c>
    </row>
    <row r="458" spans="1:23" x14ac:dyDescent="0.3">
      <c r="A458" s="8" t="s">
        <v>792</v>
      </c>
      <c r="B458" s="3">
        <v>45197</v>
      </c>
      <c r="C458" s="2" t="s">
        <v>241</v>
      </c>
      <c r="D458" s="2" t="s">
        <v>242</v>
      </c>
      <c r="E458" s="2" t="s">
        <v>230</v>
      </c>
      <c r="F458" s="2" t="s">
        <v>19</v>
      </c>
      <c r="G458" s="2" t="s">
        <v>47</v>
      </c>
      <c r="H458" s="2" t="s">
        <v>102</v>
      </c>
      <c r="I458" s="2">
        <v>3</v>
      </c>
      <c r="J458" s="2">
        <v>2200</v>
      </c>
      <c r="K458" s="2">
        <v>0</v>
      </c>
      <c r="L458" s="2">
        <v>6600</v>
      </c>
      <c r="M458" s="2" t="s">
        <v>43</v>
      </c>
      <c r="N458" s="2" t="s">
        <v>37</v>
      </c>
      <c r="O458" s="2">
        <v>9</v>
      </c>
      <c r="P458" s="6">
        <f t="shared" si="56"/>
        <v>6600</v>
      </c>
      <c r="Q458" s="6">
        <f t="shared" si="57"/>
        <v>0</v>
      </c>
      <c r="R458" s="6">
        <f t="shared" si="58"/>
        <v>1320</v>
      </c>
      <c r="S458" s="6" t="str">
        <f t="shared" si="59"/>
        <v>Sep</v>
      </c>
      <c r="T458" s="6">
        <f t="shared" si="60"/>
        <v>2023</v>
      </c>
      <c r="U458" s="6" t="str">
        <f t="shared" si="61"/>
        <v>Delayed</v>
      </c>
      <c r="V458" s="6" t="str">
        <f t="shared" si="62"/>
        <v>High Value</v>
      </c>
      <c r="W458" s="6" t="str">
        <f t="shared" si="63"/>
        <v>No</v>
      </c>
    </row>
    <row r="459" spans="1:23" x14ac:dyDescent="0.3">
      <c r="A459" s="9" t="s">
        <v>793</v>
      </c>
      <c r="B459" s="5">
        <v>45115</v>
      </c>
      <c r="C459" s="4" t="s">
        <v>302</v>
      </c>
      <c r="D459" s="4" t="s">
        <v>303</v>
      </c>
      <c r="E459" s="4" t="s">
        <v>230</v>
      </c>
      <c r="F459" s="4" t="s">
        <v>19</v>
      </c>
      <c r="G459" s="4" t="s">
        <v>20</v>
      </c>
      <c r="H459" s="4" t="s">
        <v>111</v>
      </c>
      <c r="I459" s="4">
        <v>3</v>
      </c>
      <c r="J459" s="4">
        <v>250</v>
      </c>
      <c r="K459" s="4">
        <v>0</v>
      </c>
      <c r="L459" s="4">
        <v>750</v>
      </c>
      <c r="M459" s="4" t="s">
        <v>43</v>
      </c>
      <c r="N459" s="4" t="s">
        <v>37</v>
      </c>
      <c r="O459" s="4">
        <v>6</v>
      </c>
      <c r="P459" s="6">
        <f t="shared" si="56"/>
        <v>750</v>
      </c>
      <c r="Q459" s="6">
        <f t="shared" si="57"/>
        <v>0</v>
      </c>
      <c r="R459" s="6">
        <f t="shared" si="58"/>
        <v>150</v>
      </c>
      <c r="S459" s="6" t="str">
        <f t="shared" si="59"/>
        <v>Jul</v>
      </c>
      <c r="T459" s="6">
        <f t="shared" si="60"/>
        <v>2023</v>
      </c>
      <c r="U459" s="6" t="str">
        <f t="shared" si="61"/>
        <v>Delayed</v>
      </c>
      <c r="V459" s="6" t="str">
        <f t="shared" si="62"/>
        <v>Normal</v>
      </c>
      <c r="W459" s="6" t="str">
        <f t="shared" si="63"/>
        <v>Yes</v>
      </c>
    </row>
    <row r="460" spans="1:23" x14ac:dyDescent="0.3">
      <c r="A460" s="8" t="s">
        <v>794</v>
      </c>
      <c r="B460" s="3">
        <v>45164</v>
      </c>
      <c r="C460" s="2" t="s">
        <v>465</v>
      </c>
      <c r="D460" s="2" t="s">
        <v>466</v>
      </c>
      <c r="E460" s="2" t="s">
        <v>137</v>
      </c>
      <c r="F460" s="2" t="s">
        <v>19</v>
      </c>
      <c r="G460" s="2" t="s">
        <v>69</v>
      </c>
      <c r="H460" s="2" t="s">
        <v>254</v>
      </c>
      <c r="I460" s="2">
        <v>3</v>
      </c>
      <c r="J460" s="2">
        <v>499</v>
      </c>
      <c r="K460" s="2">
        <v>0</v>
      </c>
      <c r="L460" s="2">
        <v>1497</v>
      </c>
      <c r="M460" s="2" t="s">
        <v>30</v>
      </c>
      <c r="N460" s="2" t="s">
        <v>37</v>
      </c>
      <c r="O460" s="2">
        <v>9</v>
      </c>
      <c r="P460" s="6">
        <f t="shared" si="56"/>
        <v>1497</v>
      </c>
      <c r="Q460" s="6">
        <f t="shared" si="57"/>
        <v>0</v>
      </c>
      <c r="R460" s="6">
        <f t="shared" si="58"/>
        <v>299.40000000000003</v>
      </c>
      <c r="S460" s="6" t="str">
        <f t="shared" si="59"/>
        <v>Aug</v>
      </c>
      <c r="T460" s="6">
        <f t="shared" si="60"/>
        <v>2023</v>
      </c>
      <c r="U460" s="6" t="str">
        <f t="shared" si="61"/>
        <v>Delayed</v>
      </c>
      <c r="V460" s="6" t="str">
        <f t="shared" si="62"/>
        <v>Normal</v>
      </c>
      <c r="W460" s="6" t="str">
        <f t="shared" si="63"/>
        <v>Yes</v>
      </c>
    </row>
    <row r="461" spans="1:23" x14ac:dyDescent="0.3">
      <c r="A461" s="9" t="s">
        <v>795</v>
      </c>
      <c r="B461" s="5">
        <v>45212</v>
      </c>
      <c r="C461" s="4" t="s">
        <v>325</v>
      </c>
      <c r="D461" s="4" t="s">
        <v>326</v>
      </c>
      <c r="E461" s="4" t="s">
        <v>270</v>
      </c>
      <c r="F461" s="4" t="s">
        <v>19</v>
      </c>
      <c r="G461" s="4" t="s">
        <v>69</v>
      </c>
      <c r="H461" s="4" t="s">
        <v>482</v>
      </c>
      <c r="I461" s="4">
        <v>3</v>
      </c>
      <c r="J461" s="4">
        <v>2800</v>
      </c>
      <c r="K461" s="4">
        <v>5</v>
      </c>
      <c r="L461" s="4">
        <v>7980</v>
      </c>
      <c r="M461" s="4" t="s">
        <v>22</v>
      </c>
      <c r="N461" s="4" t="s">
        <v>37</v>
      </c>
      <c r="O461" s="4">
        <v>7</v>
      </c>
      <c r="P461" s="6">
        <f t="shared" si="56"/>
        <v>8400</v>
      </c>
      <c r="Q461" s="6">
        <f t="shared" si="57"/>
        <v>420</v>
      </c>
      <c r="R461" s="6">
        <f t="shared" si="58"/>
        <v>1596</v>
      </c>
      <c r="S461" s="6" t="str">
        <f t="shared" si="59"/>
        <v>Oct</v>
      </c>
      <c r="T461" s="6">
        <f t="shared" si="60"/>
        <v>2023</v>
      </c>
      <c r="U461" s="6" t="str">
        <f t="shared" si="61"/>
        <v>Delayed</v>
      </c>
      <c r="V461" s="6" t="str">
        <f t="shared" si="62"/>
        <v>High Value</v>
      </c>
      <c r="W461" s="6" t="str">
        <f t="shared" si="63"/>
        <v>No</v>
      </c>
    </row>
    <row r="462" spans="1:23" x14ac:dyDescent="0.3">
      <c r="A462" s="8" t="s">
        <v>796</v>
      </c>
      <c r="B462" s="3">
        <v>45117</v>
      </c>
      <c r="C462" s="2" t="s">
        <v>234</v>
      </c>
      <c r="D462" s="2" t="s">
        <v>235</v>
      </c>
      <c r="E462" s="2" t="s">
        <v>52</v>
      </c>
      <c r="F462" s="2" t="s">
        <v>53</v>
      </c>
      <c r="G462" s="2" t="s">
        <v>47</v>
      </c>
      <c r="H462" s="2" t="s">
        <v>443</v>
      </c>
      <c r="I462" s="2">
        <v>3</v>
      </c>
      <c r="J462" s="2">
        <v>350</v>
      </c>
      <c r="K462" s="2">
        <v>15</v>
      </c>
      <c r="L462" s="2">
        <v>892.5</v>
      </c>
      <c r="M462" s="2" t="s">
        <v>71</v>
      </c>
      <c r="N462" s="2" t="s">
        <v>37</v>
      </c>
      <c r="O462" s="2">
        <v>10</v>
      </c>
      <c r="P462" s="6">
        <f t="shared" si="56"/>
        <v>1050</v>
      </c>
      <c r="Q462" s="6">
        <f t="shared" si="57"/>
        <v>157.5</v>
      </c>
      <c r="R462" s="6">
        <f t="shared" si="58"/>
        <v>178.5</v>
      </c>
      <c r="S462" s="6" t="str">
        <f t="shared" si="59"/>
        <v>Jul</v>
      </c>
      <c r="T462" s="6">
        <f t="shared" si="60"/>
        <v>2023</v>
      </c>
      <c r="U462" s="6" t="str">
        <f t="shared" si="61"/>
        <v>Delayed</v>
      </c>
      <c r="V462" s="6" t="str">
        <f t="shared" si="62"/>
        <v>Normal</v>
      </c>
      <c r="W462" s="6" t="str">
        <f t="shared" si="63"/>
        <v>No</v>
      </c>
    </row>
    <row r="463" spans="1:23" x14ac:dyDescent="0.3">
      <c r="A463" s="9" t="s">
        <v>797</v>
      </c>
      <c r="B463" s="5">
        <v>44945</v>
      </c>
      <c r="C463" s="4" t="s">
        <v>104</v>
      </c>
      <c r="D463" s="4" t="s">
        <v>105</v>
      </c>
      <c r="E463" s="4" t="s">
        <v>106</v>
      </c>
      <c r="F463" s="4" t="s">
        <v>19</v>
      </c>
      <c r="G463" s="4" t="s">
        <v>47</v>
      </c>
      <c r="H463" s="4" t="s">
        <v>217</v>
      </c>
      <c r="I463" s="4">
        <v>1</v>
      </c>
      <c r="J463" s="4">
        <v>1200</v>
      </c>
      <c r="K463" s="4">
        <v>5</v>
      </c>
      <c r="L463" s="4">
        <v>1140</v>
      </c>
      <c r="M463" s="4" t="s">
        <v>107</v>
      </c>
      <c r="N463" s="4" t="s">
        <v>23</v>
      </c>
      <c r="O463" s="4">
        <v>0</v>
      </c>
      <c r="P463" s="6">
        <f t="shared" si="56"/>
        <v>1200</v>
      </c>
      <c r="Q463" s="6">
        <f t="shared" si="57"/>
        <v>60</v>
      </c>
      <c r="R463" s="6">
        <f t="shared" si="58"/>
        <v>228</v>
      </c>
      <c r="S463" s="6" t="str">
        <f t="shared" si="59"/>
        <v>Jan</v>
      </c>
      <c r="T463" s="6">
        <f t="shared" si="60"/>
        <v>2023</v>
      </c>
      <c r="U463" s="6" t="str">
        <f t="shared" si="61"/>
        <v>Fast</v>
      </c>
      <c r="V463" s="6" t="str">
        <f t="shared" si="62"/>
        <v>Normal</v>
      </c>
      <c r="W463" s="6" t="str">
        <f t="shared" si="63"/>
        <v>No</v>
      </c>
    </row>
    <row r="464" spans="1:23" x14ac:dyDescent="0.3">
      <c r="A464" s="8" t="s">
        <v>798</v>
      </c>
      <c r="B464" s="3">
        <v>44993</v>
      </c>
      <c r="C464" s="2" t="s">
        <v>238</v>
      </c>
      <c r="D464" s="2" t="s">
        <v>239</v>
      </c>
      <c r="E464" s="2" t="s">
        <v>68</v>
      </c>
      <c r="F464" s="2" t="s">
        <v>19</v>
      </c>
      <c r="G464" s="2" t="s">
        <v>20</v>
      </c>
      <c r="H464" s="2" t="s">
        <v>344</v>
      </c>
      <c r="I464" s="2">
        <v>2</v>
      </c>
      <c r="J464" s="2">
        <v>1800</v>
      </c>
      <c r="K464" s="2">
        <v>10</v>
      </c>
      <c r="L464" s="2">
        <v>3240</v>
      </c>
      <c r="M464" s="2" t="s">
        <v>143</v>
      </c>
      <c r="N464" s="2" t="s">
        <v>37</v>
      </c>
      <c r="O464" s="2">
        <v>7</v>
      </c>
      <c r="P464" s="6">
        <f t="shared" si="56"/>
        <v>3600</v>
      </c>
      <c r="Q464" s="6">
        <f t="shared" si="57"/>
        <v>360</v>
      </c>
      <c r="R464" s="6">
        <f t="shared" si="58"/>
        <v>648</v>
      </c>
      <c r="S464" s="6" t="str">
        <f t="shared" si="59"/>
        <v>Mar</v>
      </c>
      <c r="T464" s="6">
        <f t="shared" si="60"/>
        <v>2023</v>
      </c>
      <c r="U464" s="6" t="str">
        <f t="shared" si="61"/>
        <v>Delayed</v>
      </c>
      <c r="V464" s="6" t="str">
        <f t="shared" si="62"/>
        <v>Normal</v>
      </c>
      <c r="W464" s="6" t="str">
        <f t="shared" si="63"/>
        <v>No</v>
      </c>
    </row>
    <row r="465" spans="1:23" x14ac:dyDescent="0.3">
      <c r="A465" s="9" t="s">
        <v>799</v>
      </c>
      <c r="B465" s="5">
        <v>44975</v>
      </c>
      <c r="C465" s="4" t="s">
        <v>169</v>
      </c>
      <c r="D465" s="4" t="s">
        <v>170</v>
      </c>
      <c r="E465" s="4" t="s">
        <v>171</v>
      </c>
      <c r="F465" s="4" t="s">
        <v>19</v>
      </c>
      <c r="G465" s="4" t="s">
        <v>91</v>
      </c>
      <c r="H465" s="4" t="s">
        <v>484</v>
      </c>
      <c r="I465" s="4">
        <v>2</v>
      </c>
      <c r="J465" s="4">
        <v>3500</v>
      </c>
      <c r="K465" s="4">
        <v>10</v>
      </c>
      <c r="L465" s="4">
        <v>6300</v>
      </c>
      <c r="M465" s="4" t="s">
        <v>143</v>
      </c>
      <c r="N465" s="4" t="s">
        <v>23</v>
      </c>
      <c r="O465" s="4">
        <v>0</v>
      </c>
      <c r="P465" s="6">
        <f t="shared" si="56"/>
        <v>7000</v>
      </c>
      <c r="Q465" s="6">
        <f t="shared" si="57"/>
        <v>700</v>
      </c>
      <c r="R465" s="6">
        <f t="shared" si="58"/>
        <v>1260</v>
      </c>
      <c r="S465" s="6" t="str">
        <f t="shared" si="59"/>
        <v>Feb</v>
      </c>
      <c r="T465" s="6">
        <f t="shared" si="60"/>
        <v>2023</v>
      </c>
      <c r="U465" s="6" t="str">
        <f t="shared" si="61"/>
        <v>Fast</v>
      </c>
      <c r="V465" s="6" t="str">
        <f t="shared" si="62"/>
        <v>High Value</v>
      </c>
      <c r="W465" s="6" t="str">
        <f t="shared" si="63"/>
        <v>Yes</v>
      </c>
    </row>
    <row r="466" spans="1:23" x14ac:dyDescent="0.3">
      <c r="A466" s="8" t="s">
        <v>800</v>
      </c>
      <c r="B466" s="3">
        <v>44927</v>
      </c>
      <c r="C466" s="2" t="s">
        <v>547</v>
      </c>
      <c r="D466" s="2" t="s">
        <v>548</v>
      </c>
      <c r="E466" s="2" t="s">
        <v>159</v>
      </c>
      <c r="F466" s="2" t="s">
        <v>19</v>
      </c>
      <c r="G466" s="2" t="s">
        <v>54</v>
      </c>
      <c r="H466" s="2" t="s">
        <v>172</v>
      </c>
      <c r="I466" s="2">
        <v>1</v>
      </c>
      <c r="J466" s="2">
        <v>130</v>
      </c>
      <c r="K466" s="2">
        <v>0</v>
      </c>
      <c r="L466" s="2">
        <v>130</v>
      </c>
      <c r="M466" s="2" t="s">
        <v>22</v>
      </c>
      <c r="N466" s="2" t="s">
        <v>37</v>
      </c>
      <c r="O466" s="2">
        <v>4</v>
      </c>
      <c r="P466" s="6">
        <f t="shared" si="56"/>
        <v>130</v>
      </c>
      <c r="Q466" s="6">
        <f t="shared" si="57"/>
        <v>0</v>
      </c>
      <c r="R466" s="6">
        <f t="shared" si="58"/>
        <v>26</v>
      </c>
      <c r="S466" s="6" t="str">
        <f t="shared" si="59"/>
        <v>Jan</v>
      </c>
      <c r="T466" s="6">
        <f t="shared" si="60"/>
        <v>2023</v>
      </c>
      <c r="U466" s="6" t="str">
        <f t="shared" si="61"/>
        <v>Delayed</v>
      </c>
      <c r="V466" s="6" t="str">
        <f t="shared" si="62"/>
        <v>Normal</v>
      </c>
      <c r="W466" s="6" t="str">
        <f t="shared" si="63"/>
        <v>Yes</v>
      </c>
    </row>
    <row r="467" spans="1:23" x14ac:dyDescent="0.3">
      <c r="A467" s="9" t="s">
        <v>801</v>
      </c>
      <c r="B467" s="5">
        <v>45024</v>
      </c>
      <c r="C467" s="4" t="s">
        <v>569</v>
      </c>
      <c r="D467" s="4" t="s">
        <v>570</v>
      </c>
      <c r="E467" s="4" t="s">
        <v>83</v>
      </c>
      <c r="F467" s="4" t="s">
        <v>19</v>
      </c>
      <c r="G467" s="4" t="s">
        <v>28</v>
      </c>
      <c r="H467" s="4" t="s">
        <v>306</v>
      </c>
      <c r="I467" s="4">
        <v>2</v>
      </c>
      <c r="J467" s="4">
        <v>260</v>
      </c>
      <c r="K467" s="4">
        <v>20</v>
      </c>
      <c r="L467" s="4">
        <v>416</v>
      </c>
      <c r="M467" s="4" t="s">
        <v>143</v>
      </c>
      <c r="N467" s="4" t="s">
        <v>23</v>
      </c>
      <c r="O467" s="4">
        <v>0</v>
      </c>
      <c r="P467" s="6">
        <f t="shared" si="56"/>
        <v>520</v>
      </c>
      <c r="Q467" s="6">
        <f t="shared" si="57"/>
        <v>104</v>
      </c>
      <c r="R467" s="6">
        <f t="shared" si="58"/>
        <v>83.2</v>
      </c>
      <c r="S467" s="6" t="str">
        <f t="shared" si="59"/>
        <v>Apr</v>
      </c>
      <c r="T467" s="6">
        <f t="shared" si="60"/>
        <v>2023</v>
      </c>
      <c r="U467" s="6" t="str">
        <f t="shared" si="61"/>
        <v>Fast</v>
      </c>
      <c r="V467" s="6" t="str">
        <f t="shared" si="62"/>
        <v>Normal</v>
      </c>
      <c r="W467" s="6" t="str">
        <f t="shared" si="63"/>
        <v>Yes</v>
      </c>
    </row>
    <row r="468" spans="1:23" x14ac:dyDescent="0.3">
      <c r="A468" s="8" t="s">
        <v>802</v>
      </c>
      <c r="B468" s="3">
        <v>45255</v>
      </c>
      <c r="C468" s="2" t="s">
        <v>258</v>
      </c>
      <c r="D468" s="2" t="s">
        <v>259</v>
      </c>
      <c r="E468" s="2" t="s">
        <v>260</v>
      </c>
      <c r="F468" s="2" t="s">
        <v>19</v>
      </c>
      <c r="G468" s="2" t="s">
        <v>91</v>
      </c>
      <c r="H468" s="2" t="s">
        <v>92</v>
      </c>
      <c r="I468" s="2">
        <v>1</v>
      </c>
      <c r="J468" s="2">
        <v>2200</v>
      </c>
      <c r="K468" s="2">
        <v>0</v>
      </c>
      <c r="L468" s="2">
        <v>2200</v>
      </c>
      <c r="M468" s="2" t="s">
        <v>43</v>
      </c>
      <c r="N468" s="2" t="s">
        <v>37</v>
      </c>
      <c r="O468" s="2">
        <v>8</v>
      </c>
      <c r="P468" s="6">
        <f t="shared" si="56"/>
        <v>2200</v>
      </c>
      <c r="Q468" s="6">
        <f t="shared" si="57"/>
        <v>0</v>
      </c>
      <c r="R468" s="6">
        <f t="shared" si="58"/>
        <v>440</v>
      </c>
      <c r="S468" s="6" t="str">
        <f t="shared" si="59"/>
        <v>Nov</v>
      </c>
      <c r="T468" s="6">
        <f t="shared" si="60"/>
        <v>2023</v>
      </c>
      <c r="U468" s="6" t="str">
        <f t="shared" si="61"/>
        <v>Delayed</v>
      </c>
      <c r="V468" s="6" t="str">
        <f t="shared" si="62"/>
        <v>Normal</v>
      </c>
      <c r="W468" s="6" t="str">
        <f t="shared" si="63"/>
        <v>Yes</v>
      </c>
    </row>
    <row r="469" spans="1:23" x14ac:dyDescent="0.3">
      <c r="A469" s="9" t="s">
        <v>803</v>
      </c>
      <c r="B469" s="5">
        <v>45167</v>
      </c>
      <c r="C469" s="4" t="s">
        <v>684</v>
      </c>
      <c r="D469" s="4" t="s">
        <v>685</v>
      </c>
      <c r="E469" s="4" t="s">
        <v>154</v>
      </c>
      <c r="F469" s="4" t="s">
        <v>155</v>
      </c>
      <c r="G469" s="4" t="s">
        <v>20</v>
      </c>
      <c r="H469" s="4" t="s">
        <v>327</v>
      </c>
      <c r="I469" s="4">
        <v>2</v>
      </c>
      <c r="J469" s="4">
        <v>950</v>
      </c>
      <c r="K469" s="4">
        <v>0</v>
      </c>
      <c r="L469" s="4">
        <v>1900</v>
      </c>
      <c r="M469" s="4" t="s">
        <v>71</v>
      </c>
      <c r="N469" s="4" t="s">
        <v>37</v>
      </c>
      <c r="O469" s="4">
        <v>4</v>
      </c>
      <c r="P469" s="6">
        <f t="shared" si="56"/>
        <v>1900</v>
      </c>
      <c r="Q469" s="6">
        <f t="shared" si="57"/>
        <v>0</v>
      </c>
      <c r="R469" s="6">
        <f t="shared" si="58"/>
        <v>380</v>
      </c>
      <c r="S469" s="6" t="str">
        <f t="shared" si="59"/>
        <v>Aug</v>
      </c>
      <c r="T469" s="6">
        <f t="shared" si="60"/>
        <v>2023</v>
      </c>
      <c r="U469" s="6" t="str">
        <f t="shared" si="61"/>
        <v>Delayed</v>
      </c>
      <c r="V469" s="6" t="str">
        <f t="shared" si="62"/>
        <v>Normal</v>
      </c>
      <c r="W469" s="6" t="str">
        <f t="shared" si="63"/>
        <v>No</v>
      </c>
    </row>
    <row r="470" spans="1:23" x14ac:dyDescent="0.3">
      <c r="A470" s="8" t="s">
        <v>804</v>
      </c>
      <c r="B470" s="3">
        <v>45198</v>
      </c>
      <c r="C470" s="2" t="s">
        <v>77</v>
      </c>
      <c r="D470" s="2" t="s">
        <v>78</v>
      </c>
      <c r="E470" s="2" t="s">
        <v>79</v>
      </c>
      <c r="F470" s="2" t="s">
        <v>79</v>
      </c>
      <c r="G470" s="2" t="s">
        <v>126</v>
      </c>
      <c r="H470" s="2" t="s">
        <v>367</v>
      </c>
      <c r="I470" s="2">
        <v>3</v>
      </c>
      <c r="J470" s="2">
        <v>280</v>
      </c>
      <c r="K470" s="2">
        <v>10</v>
      </c>
      <c r="L470" s="2">
        <v>756</v>
      </c>
      <c r="M470" s="2" t="s">
        <v>30</v>
      </c>
      <c r="N470" s="2" t="s">
        <v>37</v>
      </c>
      <c r="O470" s="2">
        <v>10</v>
      </c>
      <c r="P470" s="6">
        <f t="shared" si="56"/>
        <v>840</v>
      </c>
      <c r="Q470" s="6">
        <f t="shared" si="57"/>
        <v>84</v>
      </c>
      <c r="R470" s="6">
        <f t="shared" si="58"/>
        <v>151.20000000000002</v>
      </c>
      <c r="S470" s="6" t="str">
        <f t="shared" si="59"/>
        <v>Sep</v>
      </c>
      <c r="T470" s="6">
        <f t="shared" si="60"/>
        <v>2023</v>
      </c>
      <c r="U470" s="6" t="str">
        <f t="shared" si="61"/>
        <v>Delayed</v>
      </c>
      <c r="V470" s="6" t="str">
        <f t="shared" si="62"/>
        <v>Normal</v>
      </c>
      <c r="W470" s="6" t="str">
        <f t="shared" si="63"/>
        <v>No</v>
      </c>
    </row>
    <row r="471" spans="1:23" x14ac:dyDescent="0.3">
      <c r="A471" s="9" t="s">
        <v>805</v>
      </c>
      <c r="B471" s="5">
        <v>45238</v>
      </c>
      <c r="C471" s="4" t="s">
        <v>207</v>
      </c>
      <c r="D471" s="4" t="s">
        <v>208</v>
      </c>
      <c r="E471" s="4" t="s">
        <v>68</v>
      </c>
      <c r="F471" s="4" t="s">
        <v>19</v>
      </c>
      <c r="G471" s="4" t="s">
        <v>126</v>
      </c>
      <c r="H471" s="4" t="s">
        <v>337</v>
      </c>
      <c r="I471" s="4">
        <v>2</v>
      </c>
      <c r="J471" s="4">
        <v>2200</v>
      </c>
      <c r="K471" s="4">
        <v>10</v>
      </c>
      <c r="L471" s="4">
        <v>3960</v>
      </c>
      <c r="M471" s="4" t="s">
        <v>43</v>
      </c>
      <c r="N471" s="4" t="s">
        <v>31</v>
      </c>
      <c r="O471" s="4">
        <v>1</v>
      </c>
      <c r="P471" s="6">
        <f t="shared" si="56"/>
        <v>4400</v>
      </c>
      <c r="Q471" s="6">
        <f t="shared" si="57"/>
        <v>440</v>
      </c>
      <c r="R471" s="6">
        <f t="shared" si="58"/>
        <v>792</v>
      </c>
      <c r="S471" s="6" t="str">
        <f t="shared" si="59"/>
        <v>Nov</v>
      </c>
      <c r="T471" s="6">
        <f t="shared" si="60"/>
        <v>2023</v>
      </c>
      <c r="U471" s="6" t="str">
        <f t="shared" si="61"/>
        <v>Fast</v>
      </c>
      <c r="V471" s="6" t="str">
        <f t="shared" si="62"/>
        <v>Normal</v>
      </c>
      <c r="W471" s="6" t="str">
        <f t="shared" si="63"/>
        <v>No</v>
      </c>
    </row>
    <row r="472" spans="1:23" x14ac:dyDescent="0.3">
      <c r="A472" s="8" t="s">
        <v>806</v>
      </c>
      <c r="B472" s="3">
        <v>45131</v>
      </c>
      <c r="C472" s="2" t="s">
        <v>174</v>
      </c>
      <c r="D472" s="2" t="s">
        <v>175</v>
      </c>
      <c r="E472" s="2" t="s">
        <v>176</v>
      </c>
      <c r="F472" s="2" t="s">
        <v>177</v>
      </c>
      <c r="G472" s="2" t="s">
        <v>126</v>
      </c>
      <c r="H472" s="2" t="s">
        <v>261</v>
      </c>
      <c r="I472" s="2">
        <v>1</v>
      </c>
      <c r="J472" s="2">
        <v>9500</v>
      </c>
      <c r="K472" s="2">
        <v>0</v>
      </c>
      <c r="L472" s="2">
        <v>9500</v>
      </c>
      <c r="M472" s="2" t="s">
        <v>30</v>
      </c>
      <c r="N472" s="2" t="s">
        <v>64</v>
      </c>
      <c r="O472" s="2">
        <v>5</v>
      </c>
      <c r="P472" s="6">
        <f t="shared" si="56"/>
        <v>9500</v>
      </c>
      <c r="Q472" s="6">
        <f t="shared" si="57"/>
        <v>0</v>
      </c>
      <c r="R472" s="6">
        <f t="shared" si="58"/>
        <v>1900</v>
      </c>
      <c r="S472" s="6" t="str">
        <f t="shared" si="59"/>
        <v>Jul</v>
      </c>
      <c r="T472" s="6">
        <f t="shared" si="60"/>
        <v>2023</v>
      </c>
      <c r="U472" s="6" t="str">
        <f t="shared" si="61"/>
        <v>Delayed</v>
      </c>
      <c r="V472" s="6" t="str">
        <f t="shared" si="62"/>
        <v>High Value</v>
      </c>
      <c r="W472" s="6" t="str">
        <f t="shared" si="63"/>
        <v>No</v>
      </c>
    </row>
    <row r="473" spans="1:23" x14ac:dyDescent="0.3">
      <c r="A473" s="9" t="s">
        <v>807</v>
      </c>
      <c r="B473" s="5">
        <v>45080</v>
      </c>
      <c r="C473" s="4" t="s">
        <v>73</v>
      </c>
      <c r="D473" s="4" t="s">
        <v>74</v>
      </c>
      <c r="E473" s="4" t="s">
        <v>41</v>
      </c>
      <c r="F473" s="4" t="s">
        <v>19</v>
      </c>
      <c r="G473" s="4" t="s">
        <v>149</v>
      </c>
      <c r="H473" s="4" t="s">
        <v>256</v>
      </c>
      <c r="I473" s="4">
        <v>1</v>
      </c>
      <c r="J473" s="4">
        <v>220</v>
      </c>
      <c r="K473" s="4">
        <v>0</v>
      </c>
      <c r="L473" s="4">
        <v>220</v>
      </c>
      <c r="M473" s="4" t="s">
        <v>43</v>
      </c>
      <c r="N473" s="4" t="s">
        <v>37</v>
      </c>
      <c r="O473" s="4">
        <v>9</v>
      </c>
      <c r="P473" s="6">
        <f t="shared" si="56"/>
        <v>220</v>
      </c>
      <c r="Q473" s="6">
        <f t="shared" si="57"/>
        <v>0</v>
      </c>
      <c r="R473" s="6">
        <f t="shared" si="58"/>
        <v>44</v>
      </c>
      <c r="S473" s="6" t="str">
        <f t="shared" si="59"/>
        <v>Jun</v>
      </c>
      <c r="T473" s="6">
        <f t="shared" si="60"/>
        <v>2023</v>
      </c>
      <c r="U473" s="6" t="str">
        <f t="shared" si="61"/>
        <v>Delayed</v>
      </c>
      <c r="V473" s="6" t="str">
        <f t="shared" si="62"/>
        <v>Normal</v>
      </c>
      <c r="W473" s="6" t="str">
        <f t="shared" si="63"/>
        <v>Yes</v>
      </c>
    </row>
    <row r="474" spans="1:23" x14ac:dyDescent="0.3">
      <c r="A474" s="8" t="s">
        <v>808</v>
      </c>
      <c r="B474" s="3">
        <v>45243</v>
      </c>
      <c r="C474" s="2" t="s">
        <v>180</v>
      </c>
      <c r="D474" s="2" t="s">
        <v>181</v>
      </c>
      <c r="E474" s="2" t="s">
        <v>35</v>
      </c>
      <c r="F474" s="2" t="s">
        <v>19</v>
      </c>
      <c r="G474" s="2" t="s">
        <v>28</v>
      </c>
      <c r="H474" s="2" t="s">
        <v>322</v>
      </c>
      <c r="I474" s="2">
        <v>2</v>
      </c>
      <c r="J474" s="2">
        <v>140</v>
      </c>
      <c r="K474" s="2">
        <v>10</v>
      </c>
      <c r="L474" s="2">
        <v>252</v>
      </c>
      <c r="M474" s="2" t="s">
        <v>43</v>
      </c>
      <c r="N474" s="2" t="s">
        <v>31</v>
      </c>
      <c r="O474" s="2">
        <v>1</v>
      </c>
      <c r="P474" s="6">
        <f t="shared" si="56"/>
        <v>280</v>
      </c>
      <c r="Q474" s="6">
        <f t="shared" si="57"/>
        <v>28</v>
      </c>
      <c r="R474" s="6">
        <f t="shared" si="58"/>
        <v>50.400000000000006</v>
      </c>
      <c r="S474" s="6" t="str">
        <f t="shared" si="59"/>
        <v>Nov</v>
      </c>
      <c r="T474" s="6">
        <f t="shared" si="60"/>
        <v>2023</v>
      </c>
      <c r="U474" s="6" t="str">
        <f t="shared" si="61"/>
        <v>Fast</v>
      </c>
      <c r="V474" s="6" t="str">
        <f t="shared" si="62"/>
        <v>Normal</v>
      </c>
      <c r="W474" s="6" t="str">
        <f t="shared" si="63"/>
        <v>No</v>
      </c>
    </row>
    <row r="475" spans="1:23" x14ac:dyDescent="0.3">
      <c r="A475" s="9" t="s">
        <v>809</v>
      </c>
      <c r="B475" s="5">
        <v>44945</v>
      </c>
      <c r="C475" s="4" t="s">
        <v>397</v>
      </c>
      <c r="D475" s="4" t="s">
        <v>398</v>
      </c>
      <c r="E475" s="4" t="s">
        <v>299</v>
      </c>
      <c r="F475" s="4" t="s">
        <v>19</v>
      </c>
      <c r="G475" s="4" t="s">
        <v>28</v>
      </c>
      <c r="H475" s="4" t="s">
        <v>300</v>
      </c>
      <c r="I475" s="4">
        <v>1</v>
      </c>
      <c r="J475" s="4">
        <v>320</v>
      </c>
      <c r="K475" s="4">
        <v>5</v>
      </c>
      <c r="L475" s="4">
        <v>304</v>
      </c>
      <c r="M475" s="4" t="s">
        <v>107</v>
      </c>
      <c r="N475" s="4" t="s">
        <v>31</v>
      </c>
      <c r="O475" s="4">
        <v>4</v>
      </c>
      <c r="P475" s="6">
        <f t="shared" si="56"/>
        <v>320</v>
      </c>
      <c r="Q475" s="6">
        <f t="shared" si="57"/>
        <v>16</v>
      </c>
      <c r="R475" s="6">
        <f t="shared" si="58"/>
        <v>60.800000000000004</v>
      </c>
      <c r="S475" s="6" t="str">
        <f t="shared" si="59"/>
        <v>Jan</v>
      </c>
      <c r="T475" s="6">
        <f t="shared" si="60"/>
        <v>2023</v>
      </c>
      <c r="U475" s="6" t="str">
        <f t="shared" si="61"/>
        <v>Delayed</v>
      </c>
      <c r="V475" s="6" t="str">
        <f t="shared" si="62"/>
        <v>Normal</v>
      </c>
      <c r="W475" s="6" t="str">
        <f t="shared" si="63"/>
        <v>No</v>
      </c>
    </row>
    <row r="476" spans="1:23" x14ac:dyDescent="0.3">
      <c r="A476" s="8" t="s">
        <v>810</v>
      </c>
      <c r="B476" s="3">
        <v>44968</v>
      </c>
      <c r="C476" s="2" t="s">
        <v>122</v>
      </c>
      <c r="D476" s="2" t="s">
        <v>123</v>
      </c>
      <c r="E476" s="2" t="s">
        <v>68</v>
      </c>
      <c r="F476" s="2" t="s">
        <v>19</v>
      </c>
      <c r="G476" s="2" t="s">
        <v>54</v>
      </c>
      <c r="H476" s="2" t="s">
        <v>75</v>
      </c>
      <c r="I476" s="2">
        <v>1</v>
      </c>
      <c r="J476" s="2">
        <v>55</v>
      </c>
      <c r="K476" s="2">
        <v>20</v>
      </c>
      <c r="L476" s="2">
        <v>44</v>
      </c>
      <c r="M476" s="2" t="s">
        <v>143</v>
      </c>
      <c r="N476" s="2" t="s">
        <v>31</v>
      </c>
      <c r="O476" s="2">
        <v>3</v>
      </c>
      <c r="P476" s="6">
        <f t="shared" si="56"/>
        <v>55</v>
      </c>
      <c r="Q476" s="6">
        <f t="shared" si="57"/>
        <v>11</v>
      </c>
      <c r="R476" s="6">
        <f t="shared" si="58"/>
        <v>8.8000000000000007</v>
      </c>
      <c r="S476" s="6" t="str">
        <f t="shared" si="59"/>
        <v>Feb</v>
      </c>
      <c r="T476" s="6">
        <f t="shared" si="60"/>
        <v>2023</v>
      </c>
      <c r="U476" s="6" t="str">
        <f t="shared" si="61"/>
        <v>Fast</v>
      </c>
      <c r="V476" s="6" t="str">
        <f t="shared" si="62"/>
        <v>Normal</v>
      </c>
      <c r="W476" s="6" t="str">
        <f t="shared" si="63"/>
        <v>Yes</v>
      </c>
    </row>
    <row r="477" spans="1:23" x14ac:dyDescent="0.3">
      <c r="A477" s="9" t="s">
        <v>811</v>
      </c>
      <c r="B477" s="5">
        <v>45279</v>
      </c>
      <c r="C477" s="4" t="s">
        <v>135</v>
      </c>
      <c r="D477" s="4" t="s">
        <v>136</v>
      </c>
      <c r="E477" s="4" t="s">
        <v>137</v>
      </c>
      <c r="F477" s="4" t="s">
        <v>19</v>
      </c>
      <c r="G477" s="4" t="s">
        <v>20</v>
      </c>
      <c r="H477" s="4" t="s">
        <v>36</v>
      </c>
      <c r="I477" s="4">
        <v>1</v>
      </c>
      <c r="J477" s="4">
        <v>1200</v>
      </c>
      <c r="K477" s="4">
        <v>20</v>
      </c>
      <c r="L477" s="4">
        <v>960</v>
      </c>
      <c r="M477" s="4" t="s">
        <v>71</v>
      </c>
      <c r="N477" s="4" t="s">
        <v>31</v>
      </c>
      <c r="O477" s="4">
        <v>5</v>
      </c>
      <c r="P477" s="6">
        <f t="shared" si="56"/>
        <v>1200</v>
      </c>
      <c r="Q477" s="6">
        <f t="shared" si="57"/>
        <v>240</v>
      </c>
      <c r="R477" s="6">
        <f t="shared" si="58"/>
        <v>192</v>
      </c>
      <c r="S477" s="6" t="str">
        <f t="shared" si="59"/>
        <v>Dec</v>
      </c>
      <c r="T477" s="6">
        <f t="shared" si="60"/>
        <v>2023</v>
      </c>
      <c r="U477" s="6" t="str">
        <f t="shared" si="61"/>
        <v>Delayed</v>
      </c>
      <c r="V477" s="6" t="str">
        <f t="shared" si="62"/>
        <v>Normal</v>
      </c>
      <c r="W477" s="6" t="str">
        <f t="shared" si="63"/>
        <v>No</v>
      </c>
    </row>
    <row r="478" spans="1:23" x14ac:dyDescent="0.3">
      <c r="A478" s="8" t="s">
        <v>812</v>
      </c>
      <c r="B478" s="3">
        <v>45397</v>
      </c>
      <c r="C478" s="2" t="s">
        <v>551</v>
      </c>
      <c r="D478" s="2" t="s">
        <v>552</v>
      </c>
      <c r="E478" s="2" t="s">
        <v>18</v>
      </c>
      <c r="F478" s="2" t="s">
        <v>19</v>
      </c>
      <c r="G478" s="2" t="s">
        <v>28</v>
      </c>
      <c r="H478" s="2" t="s">
        <v>98</v>
      </c>
      <c r="I478" s="2">
        <v>2</v>
      </c>
      <c r="J478" s="2">
        <v>220</v>
      </c>
      <c r="K478" s="2">
        <v>15</v>
      </c>
      <c r="L478" s="2">
        <v>374</v>
      </c>
      <c r="M478" s="2" t="s">
        <v>22</v>
      </c>
      <c r="N478" s="2" t="s">
        <v>37</v>
      </c>
      <c r="O478" s="2">
        <v>4</v>
      </c>
      <c r="P478" s="6">
        <f t="shared" si="56"/>
        <v>440</v>
      </c>
      <c r="Q478" s="6">
        <f t="shared" si="57"/>
        <v>66</v>
      </c>
      <c r="R478" s="6">
        <f t="shared" si="58"/>
        <v>74.8</v>
      </c>
      <c r="S478" s="6" t="str">
        <f t="shared" si="59"/>
        <v>Apr</v>
      </c>
      <c r="T478" s="6">
        <f t="shared" si="60"/>
        <v>2024</v>
      </c>
      <c r="U478" s="6" t="str">
        <f t="shared" si="61"/>
        <v>Delayed</v>
      </c>
      <c r="V478" s="6" t="str">
        <f t="shared" si="62"/>
        <v>Normal</v>
      </c>
      <c r="W478" s="6" t="str">
        <f t="shared" si="63"/>
        <v>No</v>
      </c>
    </row>
    <row r="479" spans="1:23" x14ac:dyDescent="0.3">
      <c r="A479" s="9" t="s">
        <v>813</v>
      </c>
      <c r="B479" s="5">
        <v>45188</v>
      </c>
      <c r="C479" s="4" t="s">
        <v>25</v>
      </c>
      <c r="D479" s="4" t="s">
        <v>26</v>
      </c>
      <c r="E479" s="4" t="s">
        <v>27</v>
      </c>
      <c r="F479" s="4" t="s">
        <v>19</v>
      </c>
      <c r="G479" s="4" t="s">
        <v>91</v>
      </c>
      <c r="H479" s="4" t="s">
        <v>500</v>
      </c>
      <c r="I479" s="4">
        <v>1</v>
      </c>
      <c r="J479" s="4">
        <v>2500</v>
      </c>
      <c r="K479" s="4">
        <v>10</v>
      </c>
      <c r="L479" s="4">
        <v>2250</v>
      </c>
      <c r="M479" s="4" t="s">
        <v>143</v>
      </c>
      <c r="N479" s="4" t="s">
        <v>37</v>
      </c>
      <c r="O479" s="4">
        <v>6</v>
      </c>
      <c r="P479" s="6">
        <f t="shared" si="56"/>
        <v>2500</v>
      </c>
      <c r="Q479" s="6">
        <f t="shared" si="57"/>
        <v>250</v>
      </c>
      <c r="R479" s="6">
        <f t="shared" si="58"/>
        <v>450</v>
      </c>
      <c r="S479" s="6" t="str">
        <f t="shared" si="59"/>
        <v>Sep</v>
      </c>
      <c r="T479" s="6">
        <f t="shared" si="60"/>
        <v>2023</v>
      </c>
      <c r="U479" s="6" t="str">
        <f t="shared" si="61"/>
        <v>Delayed</v>
      </c>
      <c r="V479" s="6" t="str">
        <f t="shared" si="62"/>
        <v>Normal</v>
      </c>
      <c r="W479" s="6" t="str">
        <f t="shared" si="63"/>
        <v>No</v>
      </c>
    </row>
    <row r="480" spans="1:23" x14ac:dyDescent="0.3">
      <c r="A480" s="8" t="s">
        <v>814</v>
      </c>
      <c r="B480" s="3">
        <v>45008</v>
      </c>
      <c r="C480" s="2" t="s">
        <v>50</v>
      </c>
      <c r="D480" s="2" t="s">
        <v>51</v>
      </c>
      <c r="E480" s="2" t="s">
        <v>52</v>
      </c>
      <c r="F480" s="2" t="s">
        <v>53</v>
      </c>
      <c r="G480" s="2" t="s">
        <v>91</v>
      </c>
      <c r="H480" s="2" t="s">
        <v>359</v>
      </c>
      <c r="I480" s="2">
        <v>4</v>
      </c>
      <c r="J480" s="2">
        <v>8000</v>
      </c>
      <c r="K480" s="2">
        <v>10</v>
      </c>
      <c r="L480" s="2">
        <v>28800</v>
      </c>
      <c r="M480" s="2" t="s">
        <v>43</v>
      </c>
      <c r="N480" s="2" t="s">
        <v>37</v>
      </c>
      <c r="O480" s="2">
        <v>1</v>
      </c>
      <c r="P480" s="6">
        <f t="shared" si="56"/>
        <v>32000</v>
      </c>
      <c r="Q480" s="6">
        <f t="shared" si="57"/>
        <v>3200</v>
      </c>
      <c r="R480" s="6">
        <f t="shared" si="58"/>
        <v>5760</v>
      </c>
      <c r="S480" s="6" t="str">
        <f t="shared" si="59"/>
        <v>Mar</v>
      </c>
      <c r="T480" s="6">
        <f t="shared" si="60"/>
        <v>2023</v>
      </c>
      <c r="U480" s="6" t="str">
        <f t="shared" si="61"/>
        <v>Fast</v>
      </c>
      <c r="V480" s="6" t="str">
        <f t="shared" si="62"/>
        <v>High Value</v>
      </c>
      <c r="W480" s="6" t="str">
        <f t="shared" si="63"/>
        <v>No</v>
      </c>
    </row>
    <row r="481" spans="1:23" x14ac:dyDescent="0.3">
      <c r="A481" s="9" t="s">
        <v>815</v>
      </c>
      <c r="B481" s="5">
        <v>45328</v>
      </c>
      <c r="C481" s="4" t="s">
        <v>109</v>
      </c>
      <c r="D481" s="4" t="s">
        <v>110</v>
      </c>
      <c r="E481" s="4" t="s">
        <v>52</v>
      </c>
      <c r="F481" s="4" t="s">
        <v>53</v>
      </c>
      <c r="G481" s="4" t="s">
        <v>54</v>
      </c>
      <c r="H481" s="4" t="s">
        <v>415</v>
      </c>
      <c r="I481" s="4">
        <v>1</v>
      </c>
      <c r="J481" s="4">
        <v>320</v>
      </c>
      <c r="K481" s="4">
        <v>15</v>
      </c>
      <c r="L481" s="4">
        <v>272</v>
      </c>
      <c r="M481" s="4" t="s">
        <v>143</v>
      </c>
      <c r="N481" s="4" t="s">
        <v>37</v>
      </c>
      <c r="O481" s="4">
        <v>6</v>
      </c>
      <c r="P481" s="6">
        <f t="shared" si="56"/>
        <v>320</v>
      </c>
      <c r="Q481" s="6">
        <f t="shared" si="57"/>
        <v>48</v>
      </c>
      <c r="R481" s="6">
        <f t="shared" si="58"/>
        <v>54.400000000000006</v>
      </c>
      <c r="S481" s="6" t="str">
        <f t="shared" si="59"/>
        <v>Feb</v>
      </c>
      <c r="T481" s="6">
        <f t="shared" si="60"/>
        <v>2024</v>
      </c>
      <c r="U481" s="6" t="str">
        <f t="shared" si="61"/>
        <v>Delayed</v>
      </c>
      <c r="V481" s="6" t="str">
        <f t="shared" si="62"/>
        <v>Normal</v>
      </c>
      <c r="W481" s="6" t="str">
        <f t="shared" si="63"/>
        <v>No</v>
      </c>
    </row>
    <row r="482" spans="1:23" x14ac:dyDescent="0.3">
      <c r="A482" s="8" t="s">
        <v>816</v>
      </c>
      <c r="B482" s="3">
        <v>45105</v>
      </c>
      <c r="C482" s="2" t="s">
        <v>241</v>
      </c>
      <c r="D482" s="2" t="s">
        <v>242</v>
      </c>
      <c r="E482" s="2" t="s">
        <v>230</v>
      </c>
      <c r="F482" s="2" t="s">
        <v>19</v>
      </c>
      <c r="G482" s="2" t="s">
        <v>28</v>
      </c>
      <c r="H482" s="2" t="s">
        <v>487</v>
      </c>
      <c r="I482" s="2">
        <v>3</v>
      </c>
      <c r="J482" s="2">
        <v>180</v>
      </c>
      <c r="K482" s="2">
        <v>10</v>
      </c>
      <c r="L482" s="2">
        <v>486</v>
      </c>
      <c r="M482" s="2" t="s">
        <v>143</v>
      </c>
      <c r="N482" s="2" t="s">
        <v>64</v>
      </c>
      <c r="O482" s="2">
        <v>1</v>
      </c>
      <c r="P482" s="6">
        <f t="shared" si="56"/>
        <v>540</v>
      </c>
      <c r="Q482" s="6">
        <f t="shared" si="57"/>
        <v>54</v>
      </c>
      <c r="R482" s="6">
        <f t="shared" si="58"/>
        <v>97.2</v>
      </c>
      <c r="S482" s="6" t="str">
        <f t="shared" si="59"/>
        <v>Jun</v>
      </c>
      <c r="T482" s="6">
        <f t="shared" si="60"/>
        <v>2023</v>
      </c>
      <c r="U482" s="6" t="str">
        <f t="shared" si="61"/>
        <v>Fast</v>
      </c>
      <c r="V482" s="6" t="str">
        <f t="shared" si="62"/>
        <v>Normal</v>
      </c>
      <c r="W482" s="6" t="str">
        <f t="shared" si="63"/>
        <v>No</v>
      </c>
    </row>
    <row r="483" spans="1:23" x14ac:dyDescent="0.3">
      <c r="A483" s="9" t="s">
        <v>817</v>
      </c>
      <c r="B483" s="5">
        <v>45233</v>
      </c>
      <c r="C483" s="4" t="s">
        <v>140</v>
      </c>
      <c r="D483" s="4" t="s">
        <v>141</v>
      </c>
      <c r="E483" s="4" t="s">
        <v>68</v>
      </c>
      <c r="F483" s="4" t="s">
        <v>19</v>
      </c>
      <c r="G483" s="4" t="s">
        <v>47</v>
      </c>
      <c r="H483" s="4" t="s">
        <v>138</v>
      </c>
      <c r="I483" s="4">
        <v>4</v>
      </c>
      <c r="J483" s="4">
        <v>280</v>
      </c>
      <c r="K483" s="4">
        <v>5</v>
      </c>
      <c r="L483" s="4">
        <v>1064</v>
      </c>
      <c r="M483" s="4" t="s">
        <v>107</v>
      </c>
      <c r="N483" s="4" t="s">
        <v>23</v>
      </c>
      <c r="O483" s="4">
        <v>0</v>
      </c>
      <c r="P483" s="6">
        <f t="shared" si="56"/>
        <v>1120</v>
      </c>
      <c r="Q483" s="6">
        <f t="shared" si="57"/>
        <v>56</v>
      </c>
      <c r="R483" s="6">
        <f t="shared" si="58"/>
        <v>212.8</v>
      </c>
      <c r="S483" s="6" t="str">
        <f t="shared" si="59"/>
        <v>Nov</v>
      </c>
      <c r="T483" s="6">
        <f t="shared" si="60"/>
        <v>2023</v>
      </c>
      <c r="U483" s="6" t="str">
        <f t="shared" si="61"/>
        <v>Fast</v>
      </c>
      <c r="V483" s="6" t="str">
        <f t="shared" si="62"/>
        <v>Normal</v>
      </c>
      <c r="W483" s="6" t="str">
        <f t="shared" si="63"/>
        <v>No</v>
      </c>
    </row>
    <row r="484" spans="1:23" x14ac:dyDescent="0.3">
      <c r="A484" s="8" t="s">
        <v>818</v>
      </c>
      <c r="B484" s="3">
        <v>45142</v>
      </c>
      <c r="C484" s="2" t="s">
        <v>135</v>
      </c>
      <c r="D484" s="2" t="s">
        <v>136</v>
      </c>
      <c r="E484" s="2" t="s">
        <v>137</v>
      </c>
      <c r="F484" s="2" t="s">
        <v>19</v>
      </c>
      <c r="G484" s="2" t="s">
        <v>20</v>
      </c>
      <c r="H484" s="2" t="s">
        <v>202</v>
      </c>
      <c r="I484" s="2">
        <v>1</v>
      </c>
      <c r="J484" s="2">
        <v>650</v>
      </c>
      <c r="K484" s="2">
        <v>20</v>
      </c>
      <c r="L484" s="2">
        <v>520</v>
      </c>
      <c r="M484" s="2" t="s">
        <v>71</v>
      </c>
      <c r="N484" s="2" t="s">
        <v>37</v>
      </c>
      <c r="O484" s="2">
        <v>3</v>
      </c>
      <c r="P484" s="6">
        <f t="shared" si="56"/>
        <v>650</v>
      </c>
      <c r="Q484" s="6">
        <f t="shared" si="57"/>
        <v>130</v>
      </c>
      <c r="R484" s="6">
        <f t="shared" si="58"/>
        <v>104</v>
      </c>
      <c r="S484" s="6" t="str">
        <f t="shared" si="59"/>
        <v>Aug</v>
      </c>
      <c r="T484" s="6">
        <f t="shared" si="60"/>
        <v>2023</v>
      </c>
      <c r="U484" s="6" t="str">
        <f t="shared" si="61"/>
        <v>Fast</v>
      </c>
      <c r="V484" s="6" t="str">
        <f t="shared" si="62"/>
        <v>Normal</v>
      </c>
      <c r="W484" s="6" t="str">
        <f t="shared" si="63"/>
        <v>No</v>
      </c>
    </row>
    <row r="485" spans="1:23" x14ac:dyDescent="0.3">
      <c r="A485" s="9" t="s">
        <v>819</v>
      </c>
      <c r="B485" s="5">
        <v>44985</v>
      </c>
      <c r="C485" s="4" t="s">
        <v>390</v>
      </c>
      <c r="D485" s="4" t="s">
        <v>391</v>
      </c>
      <c r="E485" s="4" t="s">
        <v>176</v>
      </c>
      <c r="F485" s="4" t="s">
        <v>177</v>
      </c>
      <c r="G485" s="4" t="s">
        <v>20</v>
      </c>
      <c r="H485" s="4" t="s">
        <v>63</v>
      </c>
      <c r="I485" s="4">
        <v>1</v>
      </c>
      <c r="J485" s="4">
        <v>2800</v>
      </c>
      <c r="K485" s="4">
        <v>5</v>
      </c>
      <c r="L485" s="4">
        <v>2660</v>
      </c>
      <c r="M485" s="4" t="s">
        <v>22</v>
      </c>
      <c r="N485" s="4" t="s">
        <v>37</v>
      </c>
      <c r="O485" s="4">
        <v>5</v>
      </c>
      <c r="P485" s="6">
        <f t="shared" si="56"/>
        <v>2800</v>
      </c>
      <c r="Q485" s="6">
        <f t="shared" si="57"/>
        <v>140</v>
      </c>
      <c r="R485" s="6">
        <f t="shared" si="58"/>
        <v>532</v>
      </c>
      <c r="S485" s="6" t="str">
        <f t="shared" si="59"/>
        <v>Feb</v>
      </c>
      <c r="T485" s="6">
        <f t="shared" si="60"/>
        <v>2023</v>
      </c>
      <c r="U485" s="6" t="str">
        <f t="shared" si="61"/>
        <v>Delayed</v>
      </c>
      <c r="V485" s="6" t="str">
        <f t="shared" si="62"/>
        <v>Normal</v>
      </c>
      <c r="W485" s="6" t="str">
        <f t="shared" si="63"/>
        <v>No</v>
      </c>
    </row>
    <row r="486" spans="1:23" x14ac:dyDescent="0.3">
      <c r="A486" s="8" t="s">
        <v>820</v>
      </c>
      <c r="B486" s="3">
        <v>45288</v>
      </c>
      <c r="C486" s="2" t="s">
        <v>104</v>
      </c>
      <c r="D486" s="2" t="s">
        <v>105</v>
      </c>
      <c r="E486" s="2" t="s">
        <v>106</v>
      </c>
      <c r="F486" s="2" t="s">
        <v>19</v>
      </c>
      <c r="G486" s="2" t="s">
        <v>91</v>
      </c>
      <c r="H486" s="2" t="s">
        <v>163</v>
      </c>
      <c r="I486" s="2">
        <v>3</v>
      </c>
      <c r="J486" s="2">
        <v>900</v>
      </c>
      <c r="K486" s="2">
        <v>0</v>
      </c>
      <c r="L486" s="2">
        <v>2700</v>
      </c>
      <c r="M486" s="2" t="s">
        <v>143</v>
      </c>
      <c r="N486" s="2" t="s">
        <v>37</v>
      </c>
      <c r="O486" s="2">
        <v>7</v>
      </c>
      <c r="P486" s="6">
        <f t="shared" si="56"/>
        <v>2700</v>
      </c>
      <c r="Q486" s="6">
        <f t="shared" si="57"/>
        <v>0</v>
      </c>
      <c r="R486" s="6">
        <f t="shared" si="58"/>
        <v>540</v>
      </c>
      <c r="S486" s="6" t="str">
        <f t="shared" si="59"/>
        <v>Dec</v>
      </c>
      <c r="T486" s="6">
        <f t="shared" si="60"/>
        <v>2023</v>
      </c>
      <c r="U486" s="6" t="str">
        <f t="shared" si="61"/>
        <v>Delayed</v>
      </c>
      <c r="V486" s="6" t="str">
        <f t="shared" si="62"/>
        <v>Normal</v>
      </c>
      <c r="W486" s="6" t="str">
        <f t="shared" si="63"/>
        <v>No</v>
      </c>
    </row>
    <row r="487" spans="1:23" x14ac:dyDescent="0.3">
      <c r="A487" s="9" t="s">
        <v>821</v>
      </c>
      <c r="B487" s="5">
        <v>45451</v>
      </c>
      <c r="C487" s="4" t="s">
        <v>373</v>
      </c>
      <c r="D487" s="4" t="s">
        <v>374</v>
      </c>
      <c r="E487" s="4" t="s">
        <v>171</v>
      </c>
      <c r="F487" s="4" t="s">
        <v>19</v>
      </c>
      <c r="G487" s="4" t="s">
        <v>149</v>
      </c>
      <c r="H487" s="4" t="s">
        <v>281</v>
      </c>
      <c r="I487" s="4">
        <v>4</v>
      </c>
      <c r="J487" s="4">
        <v>120</v>
      </c>
      <c r="K487" s="4">
        <v>0</v>
      </c>
      <c r="L487" s="4">
        <v>480</v>
      </c>
      <c r="M487" s="4" t="s">
        <v>43</v>
      </c>
      <c r="N487" s="4" t="s">
        <v>23</v>
      </c>
      <c r="O487" s="4">
        <v>0</v>
      </c>
      <c r="P487" s="6">
        <f t="shared" si="56"/>
        <v>480</v>
      </c>
      <c r="Q487" s="6">
        <f t="shared" si="57"/>
        <v>0</v>
      </c>
      <c r="R487" s="6">
        <f t="shared" si="58"/>
        <v>96</v>
      </c>
      <c r="S487" s="6" t="str">
        <f t="shared" si="59"/>
        <v>Jun</v>
      </c>
      <c r="T487" s="6">
        <f t="shared" si="60"/>
        <v>2024</v>
      </c>
      <c r="U487" s="6" t="str">
        <f t="shared" si="61"/>
        <v>Fast</v>
      </c>
      <c r="V487" s="6" t="str">
        <f t="shared" si="62"/>
        <v>Normal</v>
      </c>
      <c r="W487" s="6" t="str">
        <f t="shared" si="63"/>
        <v>Yes</v>
      </c>
    </row>
    <row r="488" spans="1:23" x14ac:dyDescent="0.3">
      <c r="A488" s="8" t="s">
        <v>822</v>
      </c>
      <c r="B488" s="3">
        <v>45051</v>
      </c>
      <c r="C488" s="2" t="s">
        <v>50</v>
      </c>
      <c r="D488" s="2" t="s">
        <v>51</v>
      </c>
      <c r="E488" s="2" t="s">
        <v>52</v>
      </c>
      <c r="F488" s="2" t="s">
        <v>53</v>
      </c>
      <c r="G488" s="2" t="s">
        <v>149</v>
      </c>
      <c r="H488" s="2" t="s">
        <v>463</v>
      </c>
      <c r="I488" s="2">
        <v>4</v>
      </c>
      <c r="J488" s="2">
        <v>380</v>
      </c>
      <c r="K488" s="2">
        <v>0</v>
      </c>
      <c r="L488" s="2">
        <v>1520</v>
      </c>
      <c r="M488" s="2" t="s">
        <v>143</v>
      </c>
      <c r="N488" s="2" t="s">
        <v>37</v>
      </c>
      <c r="O488" s="2">
        <v>2</v>
      </c>
      <c r="P488" s="6">
        <f t="shared" si="56"/>
        <v>1520</v>
      </c>
      <c r="Q488" s="6">
        <f t="shared" si="57"/>
        <v>0</v>
      </c>
      <c r="R488" s="6">
        <f t="shared" si="58"/>
        <v>304</v>
      </c>
      <c r="S488" s="6" t="str">
        <f t="shared" si="59"/>
        <v>May</v>
      </c>
      <c r="T488" s="6">
        <f t="shared" si="60"/>
        <v>2023</v>
      </c>
      <c r="U488" s="6" t="str">
        <f t="shared" si="61"/>
        <v>Fast</v>
      </c>
      <c r="V488" s="6" t="str">
        <f t="shared" si="62"/>
        <v>Normal</v>
      </c>
      <c r="W488" s="6" t="str">
        <f t="shared" si="63"/>
        <v>No</v>
      </c>
    </row>
    <row r="489" spans="1:23" x14ac:dyDescent="0.3">
      <c r="A489" s="9" t="s">
        <v>823</v>
      </c>
      <c r="B489" s="5">
        <v>45132</v>
      </c>
      <c r="C489" s="4" t="s">
        <v>272</v>
      </c>
      <c r="D489" s="4" t="s">
        <v>273</v>
      </c>
      <c r="E489" s="4" t="s">
        <v>27</v>
      </c>
      <c r="F489" s="4" t="s">
        <v>19</v>
      </c>
      <c r="G489" s="4" t="s">
        <v>28</v>
      </c>
      <c r="H489" s="4" t="s">
        <v>322</v>
      </c>
      <c r="I489" s="4">
        <v>4</v>
      </c>
      <c r="J489" s="4">
        <v>140</v>
      </c>
      <c r="K489" s="4">
        <v>10</v>
      </c>
      <c r="L489" s="4">
        <v>504</v>
      </c>
      <c r="M489" s="4" t="s">
        <v>30</v>
      </c>
      <c r="N489" s="4" t="s">
        <v>37</v>
      </c>
      <c r="O489" s="4">
        <v>9</v>
      </c>
      <c r="P489" s="6">
        <f t="shared" si="56"/>
        <v>560</v>
      </c>
      <c r="Q489" s="6">
        <f t="shared" si="57"/>
        <v>56</v>
      </c>
      <c r="R489" s="6">
        <f t="shared" si="58"/>
        <v>100.80000000000001</v>
      </c>
      <c r="S489" s="6" t="str">
        <f t="shared" si="59"/>
        <v>Jul</v>
      </c>
      <c r="T489" s="6">
        <f t="shared" si="60"/>
        <v>2023</v>
      </c>
      <c r="U489" s="6" t="str">
        <f t="shared" si="61"/>
        <v>Delayed</v>
      </c>
      <c r="V489" s="6" t="str">
        <f t="shared" si="62"/>
        <v>Normal</v>
      </c>
      <c r="W489" s="6" t="str">
        <f t="shared" si="63"/>
        <v>No</v>
      </c>
    </row>
    <row r="490" spans="1:23" x14ac:dyDescent="0.3">
      <c r="A490" s="8" t="s">
        <v>824</v>
      </c>
      <c r="B490" s="3">
        <v>45054</v>
      </c>
      <c r="C490" s="2" t="s">
        <v>211</v>
      </c>
      <c r="D490" s="2" t="s">
        <v>212</v>
      </c>
      <c r="E490" s="2" t="s">
        <v>83</v>
      </c>
      <c r="F490" s="2" t="s">
        <v>19</v>
      </c>
      <c r="G490" s="2" t="s">
        <v>54</v>
      </c>
      <c r="H490" s="2" t="s">
        <v>86</v>
      </c>
      <c r="I490" s="2">
        <v>1</v>
      </c>
      <c r="J490" s="2">
        <v>450</v>
      </c>
      <c r="K490" s="2">
        <v>10</v>
      </c>
      <c r="L490" s="2">
        <v>405</v>
      </c>
      <c r="M490" s="2" t="s">
        <v>22</v>
      </c>
      <c r="N490" s="2" t="s">
        <v>31</v>
      </c>
      <c r="O490" s="2">
        <v>2</v>
      </c>
      <c r="P490" s="6">
        <f t="shared" si="56"/>
        <v>450</v>
      </c>
      <c r="Q490" s="6">
        <f t="shared" si="57"/>
        <v>45</v>
      </c>
      <c r="R490" s="6">
        <f t="shared" si="58"/>
        <v>81</v>
      </c>
      <c r="S490" s="6" t="str">
        <f t="shared" si="59"/>
        <v>May</v>
      </c>
      <c r="T490" s="6">
        <f t="shared" si="60"/>
        <v>2023</v>
      </c>
      <c r="U490" s="6" t="str">
        <f t="shared" si="61"/>
        <v>Fast</v>
      </c>
      <c r="V490" s="6" t="str">
        <f t="shared" si="62"/>
        <v>Normal</v>
      </c>
      <c r="W490" s="6" t="str">
        <f t="shared" si="63"/>
        <v>No</v>
      </c>
    </row>
    <row r="491" spans="1:23" x14ac:dyDescent="0.3">
      <c r="A491" s="9" t="s">
        <v>825</v>
      </c>
      <c r="B491" s="5">
        <v>45279</v>
      </c>
      <c r="C491" s="4" t="s">
        <v>118</v>
      </c>
      <c r="D491" s="4" t="s">
        <v>119</v>
      </c>
      <c r="E491" s="4" t="s">
        <v>35</v>
      </c>
      <c r="F491" s="4" t="s">
        <v>19</v>
      </c>
      <c r="G491" s="4" t="s">
        <v>20</v>
      </c>
      <c r="H491" s="4" t="s">
        <v>116</v>
      </c>
      <c r="I491" s="4">
        <v>1</v>
      </c>
      <c r="J491" s="4">
        <v>450</v>
      </c>
      <c r="K491" s="4">
        <v>5</v>
      </c>
      <c r="L491" s="4">
        <v>427.5</v>
      </c>
      <c r="M491" s="4" t="s">
        <v>71</v>
      </c>
      <c r="N491" s="4" t="s">
        <v>37</v>
      </c>
      <c r="O491" s="4">
        <v>7</v>
      </c>
      <c r="P491" s="6">
        <f t="shared" si="56"/>
        <v>450</v>
      </c>
      <c r="Q491" s="6">
        <f t="shared" si="57"/>
        <v>22.5</v>
      </c>
      <c r="R491" s="6">
        <f t="shared" si="58"/>
        <v>85.5</v>
      </c>
      <c r="S491" s="6" t="str">
        <f t="shared" si="59"/>
        <v>Dec</v>
      </c>
      <c r="T491" s="6">
        <f t="shared" si="60"/>
        <v>2023</v>
      </c>
      <c r="U491" s="6" t="str">
        <f t="shared" si="61"/>
        <v>Delayed</v>
      </c>
      <c r="V491" s="6" t="str">
        <f t="shared" si="62"/>
        <v>Normal</v>
      </c>
      <c r="W491" s="6" t="str">
        <f t="shared" si="63"/>
        <v>No</v>
      </c>
    </row>
    <row r="492" spans="1:23" x14ac:dyDescent="0.3">
      <c r="A492" s="8" t="s">
        <v>826</v>
      </c>
      <c r="B492" s="3">
        <v>45168</v>
      </c>
      <c r="C492" s="2" t="s">
        <v>437</v>
      </c>
      <c r="D492" s="2" t="s">
        <v>438</v>
      </c>
      <c r="E492" s="2" t="s">
        <v>79</v>
      </c>
      <c r="F492" s="2" t="s">
        <v>79</v>
      </c>
      <c r="G492" s="2" t="s">
        <v>54</v>
      </c>
      <c r="H492" s="2" t="s">
        <v>59</v>
      </c>
      <c r="I492" s="2">
        <v>1</v>
      </c>
      <c r="J492" s="2">
        <v>160</v>
      </c>
      <c r="K492" s="2">
        <v>10</v>
      </c>
      <c r="L492" s="2">
        <v>144</v>
      </c>
      <c r="M492" s="2" t="s">
        <v>43</v>
      </c>
      <c r="N492" s="2" t="s">
        <v>64</v>
      </c>
      <c r="O492" s="2">
        <v>1</v>
      </c>
      <c r="P492" s="6">
        <f t="shared" si="56"/>
        <v>160</v>
      </c>
      <c r="Q492" s="6">
        <f t="shared" si="57"/>
        <v>16</v>
      </c>
      <c r="R492" s="6">
        <f t="shared" si="58"/>
        <v>28.8</v>
      </c>
      <c r="S492" s="6" t="str">
        <f t="shared" si="59"/>
        <v>Aug</v>
      </c>
      <c r="T492" s="6">
        <f t="shared" si="60"/>
        <v>2023</v>
      </c>
      <c r="U492" s="6" t="str">
        <f t="shared" si="61"/>
        <v>Fast</v>
      </c>
      <c r="V492" s="6" t="str">
        <f t="shared" si="62"/>
        <v>Normal</v>
      </c>
      <c r="W492" s="6" t="str">
        <f t="shared" si="63"/>
        <v>No</v>
      </c>
    </row>
    <row r="493" spans="1:23" x14ac:dyDescent="0.3">
      <c r="A493" s="9" t="s">
        <v>827</v>
      </c>
      <c r="B493" s="5">
        <v>45179</v>
      </c>
      <c r="C493" s="4" t="s">
        <v>161</v>
      </c>
      <c r="D493" s="4" t="s">
        <v>162</v>
      </c>
      <c r="E493" s="4" t="s">
        <v>83</v>
      </c>
      <c r="F493" s="4" t="s">
        <v>19</v>
      </c>
      <c r="G493" s="4" t="s">
        <v>149</v>
      </c>
      <c r="H493" s="4" t="s">
        <v>226</v>
      </c>
      <c r="I493" s="4">
        <v>2</v>
      </c>
      <c r="J493" s="4">
        <v>350</v>
      </c>
      <c r="K493" s="4">
        <v>0</v>
      </c>
      <c r="L493" s="4">
        <v>700</v>
      </c>
      <c r="M493" s="4" t="s">
        <v>43</v>
      </c>
      <c r="N493" s="4" t="s">
        <v>37</v>
      </c>
      <c r="O493" s="4">
        <v>6</v>
      </c>
      <c r="P493" s="6">
        <f t="shared" si="56"/>
        <v>700</v>
      </c>
      <c r="Q493" s="6">
        <f t="shared" si="57"/>
        <v>0</v>
      </c>
      <c r="R493" s="6">
        <f t="shared" si="58"/>
        <v>140</v>
      </c>
      <c r="S493" s="6" t="str">
        <f t="shared" si="59"/>
        <v>Sep</v>
      </c>
      <c r="T493" s="6">
        <f t="shared" si="60"/>
        <v>2023</v>
      </c>
      <c r="U493" s="6" t="str">
        <f t="shared" si="61"/>
        <v>Delayed</v>
      </c>
      <c r="V493" s="6" t="str">
        <f t="shared" si="62"/>
        <v>Normal</v>
      </c>
      <c r="W493" s="6" t="str">
        <f t="shared" si="63"/>
        <v>Yes</v>
      </c>
    </row>
    <row r="494" spans="1:23" x14ac:dyDescent="0.3">
      <c r="A494" s="8" t="s">
        <v>828</v>
      </c>
      <c r="B494" s="3">
        <v>45226</v>
      </c>
      <c r="C494" s="2" t="s">
        <v>204</v>
      </c>
      <c r="D494" s="2" t="s">
        <v>205</v>
      </c>
      <c r="E494" s="2" t="s">
        <v>35</v>
      </c>
      <c r="F494" s="2" t="s">
        <v>19</v>
      </c>
      <c r="G494" s="2" t="s">
        <v>126</v>
      </c>
      <c r="H494" s="2" t="s">
        <v>222</v>
      </c>
      <c r="I494" s="2">
        <v>4</v>
      </c>
      <c r="J494" s="2">
        <v>650</v>
      </c>
      <c r="K494" s="2">
        <v>15</v>
      </c>
      <c r="L494" s="2">
        <v>2210</v>
      </c>
      <c r="M494" s="2" t="s">
        <v>22</v>
      </c>
      <c r="N494" s="2" t="s">
        <v>23</v>
      </c>
      <c r="O494" s="2">
        <v>0</v>
      </c>
      <c r="P494" s="6">
        <f t="shared" si="56"/>
        <v>2600</v>
      </c>
      <c r="Q494" s="6">
        <f t="shared" si="57"/>
        <v>390</v>
      </c>
      <c r="R494" s="6">
        <f t="shared" si="58"/>
        <v>442</v>
      </c>
      <c r="S494" s="6" t="str">
        <f t="shared" si="59"/>
        <v>Oct</v>
      </c>
      <c r="T494" s="6">
        <f t="shared" si="60"/>
        <v>2023</v>
      </c>
      <c r="U494" s="6" t="str">
        <f t="shared" si="61"/>
        <v>Fast</v>
      </c>
      <c r="V494" s="6" t="str">
        <f t="shared" si="62"/>
        <v>Normal</v>
      </c>
      <c r="W494" s="6" t="str">
        <f t="shared" si="63"/>
        <v>No</v>
      </c>
    </row>
    <row r="495" spans="1:23" x14ac:dyDescent="0.3">
      <c r="A495" s="9" t="s">
        <v>829</v>
      </c>
      <c r="B495" s="5">
        <v>45149</v>
      </c>
      <c r="C495" s="4" t="s">
        <v>314</v>
      </c>
      <c r="D495" s="4" t="s">
        <v>315</v>
      </c>
      <c r="E495" s="4" t="s">
        <v>260</v>
      </c>
      <c r="F495" s="4" t="s">
        <v>19</v>
      </c>
      <c r="G495" s="4" t="s">
        <v>47</v>
      </c>
      <c r="H495" s="4" t="s">
        <v>285</v>
      </c>
      <c r="I495" s="4">
        <v>2</v>
      </c>
      <c r="J495" s="4">
        <v>1800</v>
      </c>
      <c r="K495" s="4">
        <v>5</v>
      </c>
      <c r="L495" s="4">
        <v>3420</v>
      </c>
      <c r="M495" s="4" t="s">
        <v>43</v>
      </c>
      <c r="N495" s="4" t="s">
        <v>37</v>
      </c>
      <c r="O495" s="4">
        <v>5</v>
      </c>
      <c r="P495" s="6">
        <f t="shared" si="56"/>
        <v>3600</v>
      </c>
      <c r="Q495" s="6">
        <f t="shared" si="57"/>
        <v>180</v>
      </c>
      <c r="R495" s="6">
        <f t="shared" si="58"/>
        <v>684</v>
      </c>
      <c r="S495" s="6" t="str">
        <f t="shared" si="59"/>
        <v>Aug</v>
      </c>
      <c r="T495" s="6">
        <f t="shared" si="60"/>
        <v>2023</v>
      </c>
      <c r="U495" s="6" t="str">
        <f t="shared" si="61"/>
        <v>Delayed</v>
      </c>
      <c r="V495" s="6" t="str">
        <f t="shared" si="62"/>
        <v>Normal</v>
      </c>
      <c r="W495" s="6" t="str">
        <f t="shared" si="63"/>
        <v>No</v>
      </c>
    </row>
    <row r="496" spans="1:23" x14ac:dyDescent="0.3">
      <c r="A496" s="8" t="s">
        <v>830</v>
      </c>
      <c r="B496" s="3">
        <v>45008</v>
      </c>
      <c r="C496" s="2" t="s">
        <v>187</v>
      </c>
      <c r="D496" s="2" t="s">
        <v>188</v>
      </c>
      <c r="E496" s="2" t="s">
        <v>90</v>
      </c>
      <c r="F496" s="2" t="s">
        <v>19</v>
      </c>
      <c r="G496" s="2" t="s">
        <v>28</v>
      </c>
      <c r="H496" s="2" t="s">
        <v>29</v>
      </c>
      <c r="I496" s="2">
        <v>1</v>
      </c>
      <c r="J496" s="2">
        <v>1200</v>
      </c>
      <c r="K496" s="2">
        <v>0</v>
      </c>
      <c r="L496" s="2">
        <v>1200</v>
      </c>
      <c r="M496" s="2" t="s">
        <v>143</v>
      </c>
      <c r="N496" s="2" t="s">
        <v>23</v>
      </c>
      <c r="O496" s="2">
        <v>0</v>
      </c>
      <c r="P496" s="6">
        <f t="shared" si="56"/>
        <v>1200</v>
      </c>
      <c r="Q496" s="6">
        <f t="shared" si="57"/>
        <v>0</v>
      </c>
      <c r="R496" s="6">
        <f t="shared" si="58"/>
        <v>240</v>
      </c>
      <c r="S496" s="6" t="str">
        <f t="shared" si="59"/>
        <v>Mar</v>
      </c>
      <c r="T496" s="6">
        <f t="shared" si="60"/>
        <v>2023</v>
      </c>
      <c r="U496" s="6" t="str">
        <f t="shared" si="61"/>
        <v>Fast</v>
      </c>
      <c r="V496" s="6" t="str">
        <f t="shared" si="62"/>
        <v>Normal</v>
      </c>
      <c r="W496" s="6" t="str">
        <f t="shared" si="63"/>
        <v>No</v>
      </c>
    </row>
    <row r="497" spans="1:23" x14ac:dyDescent="0.3">
      <c r="A497" s="9" t="s">
        <v>831</v>
      </c>
      <c r="B497" s="5">
        <v>45289</v>
      </c>
      <c r="C497" s="4" t="s">
        <v>184</v>
      </c>
      <c r="D497" s="4" t="s">
        <v>185</v>
      </c>
      <c r="E497" s="4" t="s">
        <v>52</v>
      </c>
      <c r="F497" s="4" t="s">
        <v>53</v>
      </c>
      <c r="G497" s="4" t="s">
        <v>47</v>
      </c>
      <c r="H497" s="4" t="s">
        <v>102</v>
      </c>
      <c r="I497" s="4">
        <v>3</v>
      </c>
      <c r="J497" s="4">
        <v>2200</v>
      </c>
      <c r="K497" s="4">
        <v>20</v>
      </c>
      <c r="L497" s="4">
        <v>5280</v>
      </c>
      <c r="M497" s="4" t="s">
        <v>143</v>
      </c>
      <c r="N497" s="4" t="s">
        <v>37</v>
      </c>
      <c r="O497" s="4">
        <v>7</v>
      </c>
      <c r="P497" s="6">
        <f t="shared" si="56"/>
        <v>6600</v>
      </c>
      <c r="Q497" s="6">
        <f t="shared" si="57"/>
        <v>1320</v>
      </c>
      <c r="R497" s="6">
        <f t="shared" si="58"/>
        <v>1056</v>
      </c>
      <c r="S497" s="6" t="str">
        <f t="shared" si="59"/>
        <v>Dec</v>
      </c>
      <c r="T497" s="6">
        <f t="shared" si="60"/>
        <v>2023</v>
      </c>
      <c r="U497" s="6" t="str">
        <f t="shared" si="61"/>
        <v>Delayed</v>
      </c>
      <c r="V497" s="6" t="str">
        <f t="shared" si="62"/>
        <v>High Value</v>
      </c>
      <c r="W497" s="6" t="str">
        <f t="shared" si="63"/>
        <v>No</v>
      </c>
    </row>
    <row r="498" spans="1:23" x14ac:dyDescent="0.3">
      <c r="A498" s="8" t="s">
        <v>832</v>
      </c>
      <c r="B498" s="3">
        <v>45203</v>
      </c>
      <c r="C498" s="2" t="s">
        <v>376</v>
      </c>
      <c r="D498" s="2" t="s">
        <v>377</v>
      </c>
      <c r="E498" s="2" t="s">
        <v>270</v>
      </c>
      <c r="F498" s="2" t="s">
        <v>19</v>
      </c>
      <c r="G498" s="2" t="s">
        <v>126</v>
      </c>
      <c r="H498" s="2" t="s">
        <v>127</v>
      </c>
      <c r="I498" s="2">
        <v>3</v>
      </c>
      <c r="J498" s="2">
        <v>850</v>
      </c>
      <c r="K498" s="2">
        <v>15</v>
      </c>
      <c r="L498" s="2">
        <v>2167.5</v>
      </c>
      <c r="M498" s="2" t="s">
        <v>22</v>
      </c>
      <c r="N498" s="2" t="s">
        <v>37</v>
      </c>
      <c r="O498" s="2">
        <v>7</v>
      </c>
      <c r="P498" s="6">
        <f t="shared" si="56"/>
        <v>2550</v>
      </c>
      <c r="Q498" s="6">
        <f t="shared" si="57"/>
        <v>382.5</v>
      </c>
      <c r="R498" s="6">
        <f t="shared" si="58"/>
        <v>433.5</v>
      </c>
      <c r="S498" s="6" t="str">
        <f t="shared" si="59"/>
        <v>Oct</v>
      </c>
      <c r="T498" s="6">
        <f t="shared" si="60"/>
        <v>2023</v>
      </c>
      <c r="U498" s="6" t="str">
        <f t="shared" si="61"/>
        <v>Delayed</v>
      </c>
      <c r="V498" s="6" t="str">
        <f t="shared" si="62"/>
        <v>Normal</v>
      </c>
      <c r="W498" s="6" t="str">
        <f t="shared" si="63"/>
        <v>No</v>
      </c>
    </row>
    <row r="499" spans="1:23" x14ac:dyDescent="0.3">
      <c r="A499" s="9" t="s">
        <v>833</v>
      </c>
      <c r="B499" s="5">
        <v>44975</v>
      </c>
      <c r="C499" s="4" t="s">
        <v>61</v>
      </c>
      <c r="D499" s="4" t="s">
        <v>62</v>
      </c>
      <c r="E499" s="4" t="s">
        <v>35</v>
      </c>
      <c r="F499" s="4" t="s">
        <v>19</v>
      </c>
      <c r="G499" s="4" t="s">
        <v>69</v>
      </c>
      <c r="H499" s="4" t="s">
        <v>236</v>
      </c>
      <c r="I499" s="4">
        <v>1</v>
      </c>
      <c r="J499" s="4">
        <v>1600</v>
      </c>
      <c r="K499" s="4">
        <v>20</v>
      </c>
      <c r="L499" s="4">
        <v>1280</v>
      </c>
      <c r="M499" s="4" t="s">
        <v>22</v>
      </c>
      <c r="N499" s="4" t="s">
        <v>37</v>
      </c>
      <c r="O499" s="4">
        <v>9</v>
      </c>
      <c r="P499" s="6">
        <f t="shared" si="56"/>
        <v>1600</v>
      </c>
      <c r="Q499" s="6">
        <f t="shared" si="57"/>
        <v>320</v>
      </c>
      <c r="R499" s="6">
        <f t="shared" si="58"/>
        <v>256</v>
      </c>
      <c r="S499" s="6" t="str">
        <f t="shared" si="59"/>
        <v>Feb</v>
      </c>
      <c r="T499" s="6">
        <f t="shared" si="60"/>
        <v>2023</v>
      </c>
      <c r="U499" s="6" t="str">
        <f t="shared" si="61"/>
        <v>Delayed</v>
      </c>
      <c r="V499" s="6" t="str">
        <f t="shared" si="62"/>
        <v>Normal</v>
      </c>
      <c r="W499" s="6" t="str">
        <f t="shared" si="63"/>
        <v>Yes</v>
      </c>
    </row>
    <row r="500" spans="1:23" x14ac:dyDescent="0.3">
      <c r="A500" s="8" t="s">
        <v>834</v>
      </c>
      <c r="B500" s="3">
        <v>45187</v>
      </c>
      <c r="C500" s="2" t="s">
        <v>289</v>
      </c>
      <c r="D500" s="2" t="s">
        <v>290</v>
      </c>
      <c r="E500" s="2" t="s">
        <v>41</v>
      </c>
      <c r="F500" s="2" t="s">
        <v>19</v>
      </c>
      <c r="G500" s="2" t="s">
        <v>126</v>
      </c>
      <c r="H500" s="2" t="s">
        <v>308</v>
      </c>
      <c r="I500" s="2">
        <v>2</v>
      </c>
      <c r="J500" s="2">
        <v>1500</v>
      </c>
      <c r="K500" s="2">
        <v>0</v>
      </c>
      <c r="L500" s="2">
        <v>3000</v>
      </c>
      <c r="M500" s="2" t="s">
        <v>71</v>
      </c>
      <c r="N500" s="2" t="s">
        <v>64</v>
      </c>
      <c r="O500" s="2">
        <v>5</v>
      </c>
      <c r="P500" s="6">
        <f t="shared" si="56"/>
        <v>3000</v>
      </c>
      <c r="Q500" s="6">
        <f t="shared" si="57"/>
        <v>0</v>
      </c>
      <c r="R500" s="6">
        <f t="shared" si="58"/>
        <v>600</v>
      </c>
      <c r="S500" s="6" t="str">
        <f t="shared" si="59"/>
        <v>Sep</v>
      </c>
      <c r="T500" s="6">
        <f t="shared" si="60"/>
        <v>2023</v>
      </c>
      <c r="U500" s="6" t="str">
        <f t="shared" si="61"/>
        <v>Delayed</v>
      </c>
      <c r="V500" s="6" t="str">
        <f t="shared" si="62"/>
        <v>Normal</v>
      </c>
      <c r="W500" s="6" t="str">
        <f t="shared" si="63"/>
        <v>No</v>
      </c>
    </row>
    <row r="501" spans="1:23" x14ac:dyDescent="0.3">
      <c r="A501" s="9" t="s">
        <v>835</v>
      </c>
      <c r="B501" s="5">
        <v>45358</v>
      </c>
      <c r="C501" s="4" t="s">
        <v>199</v>
      </c>
      <c r="D501" s="4" t="s">
        <v>200</v>
      </c>
      <c r="E501" s="4" t="s">
        <v>90</v>
      </c>
      <c r="F501" s="4" t="s">
        <v>19</v>
      </c>
      <c r="G501" s="4" t="s">
        <v>149</v>
      </c>
      <c r="H501" s="4" t="s">
        <v>182</v>
      </c>
      <c r="I501" s="4">
        <v>1</v>
      </c>
      <c r="J501" s="4">
        <v>180</v>
      </c>
      <c r="K501" s="4">
        <v>15</v>
      </c>
      <c r="L501" s="4">
        <v>153</v>
      </c>
      <c r="M501" s="4" t="s">
        <v>143</v>
      </c>
      <c r="N501" s="4" t="s">
        <v>23</v>
      </c>
      <c r="O501" s="4">
        <v>0</v>
      </c>
      <c r="P501" s="6">
        <f t="shared" si="56"/>
        <v>180</v>
      </c>
      <c r="Q501" s="6">
        <f t="shared" si="57"/>
        <v>27</v>
      </c>
      <c r="R501" s="6">
        <f t="shared" si="58"/>
        <v>30.6</v>
      </c>
      <c r="S501" s="6" t="str">
        <f t="shared" si="59"/>
        <v>Mar</v>
      </c>
      <c r="T501" s="6">
        <f t="shared" si="60"/>
        <v>2024</v>
      </c>
      <c r="U501" s="6" t="str">
        <f t="shared" si="61"/>
        <v>Fast</v>
      </c>
      <c r="V501" s="6" t="str">
        <f t="shared" si="62"/>
        <v>Normal</v>
      </c>
      <c r="W501" s="6" t="str">
        <f t="shared" si="63"/>
        <v>No</v>
      </c>
    </row>
  </sheetData>
  <conditionalFormatting sqref="Q1:Q1048576">
    <cfRule type="colorScale" priority="1">
      <colorScale>
        <cfvo type="min"/>
        <cfvo type="percentile" val="50"/>
        <cfvo type="max"/>
        <color rgb="FFF8696B"/>
        <color rgb="FFFFEB84"/>
        <color rgb="FF63BE7B"/>
      </colorScale>
    </cfRule>
  </conditionalFormatting>
  <conditionalFormatting sqref="R1:R1048576">
    <cfRule type="dataBar" priority="2">
      <dataBar>
        <cfvo type="min"/>
        <cfvo type="max"/>
        <color rgb="FFD6007B"/>
      </dataBar>
      <extLst>
        <ext xmlns:x14="http://schemas.microsoft.com/office/spreadsheetml/2009/9/main" uri="{B025F937-C7B1-47D3-B67F-A62EFF666E3E}">
          <x14:id>{24BF9EC5-7062-407E-9FE2-42D792C2AA52}</x14:id>
        </ext>
      </extLst>
    </cfRule>
  </conditionalFormatting>
  <conditionalFormatting sqref="U1:U1048576">
    <cfRule type="iconSet" priority="4">
      <iconSet iconSet="3Arrows">
        <cfvo type="percent" val="0"/>
        <cfvo type="percent" val="33"/>
        <cfvo type="percent" val="67"/>
      </iconSet>
    </cfRule>
  </conditionalFormatting>
  <conditionalFormatting sqref="V2:V501">
    <cfRule type="colorScale" priority="3">
      <colorScale>
        <cfvo type="min"/>
        <cfvo type="max"/>
        <color rgb="FF63BE7B"/>
        <color rgb="FFFFEF9C"/>
      </colorScale>
    </cfRule>
  </conditionalFormatting>
  <pageMargins left="0.75" right="0.75" top="1" bottom="1" header="0.5" footer="0.5"/>
  <drawing r:id="rId5"/>
  <tableParts count="1">
    <tablePart r:id="rId6"/>
  </tableParts>
  <extLst>
    <ext xmlns:x14="http://schemas.microsoft.com/office/spreadsheetml/2009/9/main" uri="{78C0D931-6437-407d-A8EE-F0AAD7539E65}">
      <x14:conditionalFormattings>
        <x14:conditionalFormatting xmlns:xm="http://schemas.microsoft.com/office/excel/2006/main">
          <x14:cfRule type="dataBar" id="{24BF9EC5-7062-407E-9FE2-42D792C2AA52}">
            <x14:dataBar minLength="0" maxLength="100" border="1" negativeBarBorderColorSameAsPositive="0">
              <x14:cfvo type="autoMin"/>
              <x14:cfvo type="autoMax"/>
              <x14:borderColor rgb="FFD6007B"/>
              <x14:negativeFillColor rgb="FFFF0000"/>
              <x14:negativeBorderColor rgb="FFFF0000"/>
              <x14:axisColor rgb="FF000000"/>
            </x14:dataBar>
          </x14:cfRule>
          <xm:sqref>R1:R1048576</xm:sqref>
        </x14:conditionalFormatting>
      </x14:conditionalFormattings>
    </ex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1"/>
  <sheetViews>
    <sheetView workbookViewId="0">
      <selection activeCell="T5" sqref="T5"/>
    </sheetView>
  </sheetViews>
  <sheetFormatPr defaultRowHeight="14.4" x14ac:dyDescent="0.3"/>
  <cols>
    <col min="1" max="1" width="13.77734375" customWidth="1"/>
    <col min="2" max="2" width="22" customWidth="1"/>
    <col min="3" max="3" width="7" customWidth="1"/>
    <col min="4" max="4" width="9" customWidth="1"/>
    <col min="5" max="5" width="14" customWidth="1"/>
    <col min="6" max="6" width="15" customWidth="1"/>
    <col min="7" max="7" width="28" customWidth="1"/>
    <col min="8" max="9" width="14" customWidth="1"/>
    <col min="10" max="10" width="18.6640625" customWidth="1"/>
    <col min="11" max="11" width="13.6640625" customWidth="1"/>
    <col min="12" max="12" width="13" customWidth="1"/>
    <col min="13" max="13" width="13.109375" style="6" customWidth="1"/>
    <col min="14" max="14" width="17" style="6" customWidth="1"/>
    <col min="15" max="15" width="16" style="6" customWidth="1"/>
    <col min="16" max="16" width="21.109375" style="6" customWidth="1"/>
    <col min="17" max="17" width="18.44140625" style="6" customWidth="1"/>
    <col min="18" max="18" width="16.77734375" style="6" customWidth="1"/>
    <col min="19" max="19" width="8.88671875" style="6"/>
    <col min="23" max="23" width="12.5546875" bestFit="1" customWidth="1"/>
    <col min="24" max="24" width="18.44140625" bestFit="1" customWidth="1"/>
    <col min="25" max="25" width="17.77734375" bestFit="1" customWidth="1"/>
  </cols>
  <sheetData>
    <row r="1" spans="1:25" ht="24" customHeight="1" x14ac:dyDescent="0.3">
      <c r="A1" s="7" t="s">
        <v>2</v>
      </c>
      <c r="B1" s="1" t="s">
        <v>3</v>
      </c>
      <c r="C1" s="1" t="s">
        <v>836</v>
      </c>
      <c r="D1" s="1" t="s">
        <v>837</v>
      </c>
      <c r="E1" s="1" t="s">
        <v>4</v>
      </c>
      <c r="F1" s="1" t="s">
        <v>5</v>
      </c>
      <c r="G1" s="1" t="s">
        <v>838</v>
      </c>
      <c r="H1" s="1" t="s">
        <v>839</v>
      </c>
      <c r="I1" s="1" t="s">
        <v>840</v>
      </c>
      <c r="J1" s="1" t="s">
        <v>841</v>
      </c>
      <c r="K1" s="1" t="s">
        <v>842</v>
      </c>
      <c r="L1" s="1" t="s">
        <v>843</v>
      </c>
      <c r="M1" s="11" t="s">
        <v>1233</v>
      </c>
      <c r="N1" s="11" t="s">
        <v>1190</v>
      </c>
      <c r="O1" s="11" t="s">
        <v>1234</v>
      </c>
      <c r="P1" s="11" t="s">
        <v>1235</v>
      </c>
      <c r="Q1" s="11" t="s">
        <v>1236</v>
      </c>
      <c r="R1" s="11" t="s">
        <v>1237</v>
      </c>
    </row>
    <row r="2" spans="1:25" x14ac:dyDescent="0.3">
      <c r="A2" s="8" t="s">
        <v>547</v>
      </c>
      <c r="B2" s="2" t="s">
        <v>548</v>
      </c>
      <c r="C2" s="2">
        <v>52</v>
      </c>
      <c r="D2" s="2" t="s">
        <v>844</v>
      </c>
      <c r="E2" s="2" t="s">
        <v>159</v>
      </c>
      <c r="F2" s="2" t="s">
        <v>19</v>
      </c>
      <c r="G2" s="2" t="s">
        <v>845</v>
      </c>
      <c r="H2" s="2" t="s">
        <v>846</v>
      </c>
      <c r="I2" s="3">
        <v>44663</v>
      </c>
      <c r="J2" s="2" t="s">
        <v>847</v>
      </c>
      <c r="K2" s="2">
        <v>3</v>
      </c>
      <c r="L2" s="2">
        <v>3530</v>
      </c>
      <c r="M2" s="6" t="str">
        <f>IF(C2&lt;25,"Young",IF(C2&lt;40,"Adult","Senoir"))</f>
        <v>Senoir</v>
      </c>
      <c r="N2" s="6">
        <f>L2/K2</f>
        <v>1176.6666666666667</v>
      </c>
      <c r="O2" s="6" t="str">
        <f>IF(L2&gt;10000,"Premium","Regular")</f>
        <v>Regular</v>
      </c>
      <c r="P2" s="6">
        <f ca="1">DATEDIF(I2,TODAY(), "M")</f>
        <v>50</v>
      </c>
      <c r="Q2" s="6" t="str">
        <f>IF(L2&gt;15000,"High Spender","Medium Spender")</f>
        <v>Medium Spender</v>
      </c>
      <c r="R2" s="6" t="str">
        <f>IF(K2&gt;=10,"Active","Less active")</f>
        <v>Less active</v>
      </c>
    </row>
    <row r="3" spans="1:25" x14ac:dyDescent="0.3">
      <c r="A3" s="9" t="s">
        <v>584</v>
      </c>
      <c r="B3" s="4" t="s">
        <v>585</v>
      </c>
      <c r="C3" s="4">
        <v>41</v>
      </c>
      <c r="D3" s="4" t="s">
        <v>848</v>
      </c>
      <c r="E3" s="4" t="s">
        <v>90</v>
      </c>
      <c r="F3" s="4" t="s">
        <v>19</v>
      </c>
      <c r="G3" s="4" t="s">
        <v>849</v>
      </c>
      <c r="H3" s="4" t="s">
        <v>850</v>
      </c>
      <c r="I3" s="5">
        <v>44873</v>
      </c>
      <c r="J3" s="4" t="s">
        <v>851</v>
      </c>
      <c r="K3" s="4">
        <v>3</v>
      </c>
      <c r="L3" s="4">
        <v>3930</v>
      </c>
      <c r="M3" s="6" t="str">
        <f t="shared" ref="M3:M66" si="0">IF(C3&lt;25,"Young",IF(C3&lt;40,"Adult","Senoir"))</f>
        <v>Senoir</v>
      </c>
      <c r="N3" s="6">
        <f t="shared" ref="N3:N66" si="1">L3/K3</f>
        <v>1310</v>
      </c>
      <c r="O3" s="6" t="str">
        <f t="shared" ref="O3:O66" si="2">IF(L3&gt;10000,"Premium","Regular")</f>
        <v>Regular</v>
      </c>
      <c r="P3" s="6">
        <f t="shared" ref="P3:P66" ca="1" si="3">DATEDIF(I3,TODAY(), "M")</f>
        <v>43</v>
      </c>
      <c r="Q3" s="6" t="str">
        <f t="shared" ref="Q3:Q66" si="4">IF(L3&gt;15000,"High Spender","Medium Spender")</f>
        <v>Medium Spender</v>
      </c>
      <c r="R3" s="6" t="str">
        <f t="shared" ref="R3:R66" si="5">IF(K3&gt;=10,"Active","Less active")</f>
        <v>Less active</v>
      </c>
    </row>
    <row r="4" spans="1:25" x14ac:dyDescent="0.3">
      <c r="A4" s="8" t="s">
        <v>207</v>
      </c>
      <c r="B4" s="2" t="s">
        <v>208</v>
      </c>
      <c r="C4" s="2">
        <v>41</v>
      </c>
      <c r="D4" s="2" t="s">
        <v>848</v>
      </c>
      <c r="E4" s="2" t="s">
        <v>68</v>
      </c>
      <c r="F4" s="2" t="s">
        <v>19</v>
      </c>
      <c r="G4" s="2" t="s">
        <v>852</v>
      </c>
      <c r="H4" s="2" t="s">
        <v>853</v>
      </c>
      <c r="I4" s="3">
        <v>44784</v>
      </c>
      <c r="J4" s="2" t="s">
        <v>854</v>
      </c>
      <c r="K4" s="2">
        <v>6</v>
      </c>
      <c r="L4" s="2">
        <v>10899.5</v>
      </c>
      <c r="M4" s="6" t="str">
        <f t="shared" si="0"/>
        <v>Senoir</v>
      </c>
      <c r="N4" s="6">
        <f t="shared" si="1"/>
        <v>1816.5833333333333</v>
      </c>
      <c r="O4" s="6" t="str">
        <f t="shared" si="2"/>
        <v>Premium</v>
      </c>
      <c r="P4" s="6">
        <f t="shared" ca="1" si="3"/>
        <v>46</v>
      </c>
      <c r="Q4" s="6" t="str">
        <f t="shared" si="4"/>
        <v>Medium Spender</v>
      </c>
      <c r="R4" s="6" t="str">
        <f t="shared" si="5"/>
        <v>Less active</v>
      </c>
      <c r="T4" t="s">
        <v>1271</v>
      </c>
    </row>
    <row r="5" spans="1:25" x14ac:dyDescent="0.3">
      <c r="A5" s="9" t="s">
        <v>390</v>
      </c>
      <c r="B5" s="4" t="s">
        <v>391</v>
      </c>
      <c r="C5" s="4">
        <v>31</v>
      </c>
      <c r="D5" s="4" t="s">
        <v>844</v>
      </c>
      <c r="E5" s="4" t="s">
        <v>176</v>
      </c>
      <c r="F5" s="4" t="s">
        <v>177</v>
      </c>
      <c r="G5" s="4" t="s">
        <v>855</v>
      </c>
      <c r="H5" s="4" t="s">
        <v>856</v>
      </c>
      <c r="I5" s="5">
        <v>44742</v>
      </c>
      <c r="J5" s="4" t="s">
        <v>847</v>
      </c>
      <c r="K5" s="4">
        <v>9</v>
      </c>
      <c r="L5" s="4">
        <v>40528.5</v>
      </c>
      <c r="M5" s="6" t="str">
        <f t="shared" si="0"/>
        <v>Adult</v>
      </c>
      <c r="N5" s="6">
        <f t="shared" si="1"/>
        <v>4503.166666666667</v>
      </c>
      <c r="O5" s="6" t="str">
        <f t="shared" si="2"/>
        <v>Premium</v>
      </c>
      <c r="P5" s="6">
        <f t="shared" ca="1" si="3"/>
        <v>47</v>
      </c>
      <c r="Q5" s="6" t="str">
        <f t="shared" si="4"/>
        <v>High Spender</v>
      </c>
      <c r="R5" s="6" t="str">
        <f t="shared" si="5"/>
        <v>Less active</v>
      </c>
      <c r="W5" s="12" t="s">
        <v>1248</v>
      </c>
      <c r="X5" t="s">
        <v>1253</v>
      </c>
      <c r="Y5" t="s">
        <v>1255</v>
      </c>
    </row>
    <row r="6" spans="1:25" x14ac:dyDescent="0.3">
      <c r="A6" s="8" t="s">
        <v>297</v>
      </c>
      <c r="B6" s="2" t="s">
        <v>298</v>
      </c>
      <c r="C6" s="2">
        <v>29</v>
      </c>
      <c r="D6" s="2" t="s">
        <v>848</v>
      </c>
      <c r="E6" s="2" t="s">
        <v>299</v>
      </c>
      <c r="F6" s="2" t="s">
        <v>19</v>
      </c>
      <c r="G6" s="2" t="s">
        <v>857</v>
      </c>
      <c r="H6" s="2" t="s">
        <v>858</v>
      </c>
      <c r="I6" s="3">
        <v>44799</v>
      </c>
      <c r="J6" s="2" t="s">
        <v>851</v>
      </c>
      <c r="K6" s="2">
        <v>4</v>
      </c>
      <c r="L6" s="2">
        <v>3570.5</v>
      </c>
      <c r="M6" s="6" t="str">
        <f t="shared" si="0"/>
        <v>Adult</v>
      </c>
      <c r="N6" s="6">
        <f t="shared" si="1"/>
        <v>892.625</v>
      </c>
      <c r="O6" s="6" t="str">
        <f t="shared" si="2"/>
        <v>Regular</v>
      </c>
      <c r="P6" s="6">
        <f t="shared" ca="1" si="3"/>
        <v>45</v>
      </c>
      <c r="Q6" s="6" t="str">
        <f t="shared" si="4"/>
        <v>Medium Spender</v>
      </c>
      <c r="R6" s="6" t="str">
        <f t="shared" si="5"/>
        <v>Less active</v>
      </c>
      <c r="W6" s="13" t="s">
        <v>1267</v>
      </c>
      <c r="X6">
        <v>200</v>
      </c>
      <c r="Y6">
        <v>1782884.0999999999</v>
      </c>
    </row>
    <row r="7" spans="1:25" x14ac:dyDescent="0.3">
      <c r="A7" s="9" t="s">
        <v>219</v>
      </c>
      <c r="B7" s="4" t="s">
        <v>220</v>
      </c>
      <c r="C7" s="4">
        <v>54</v>
      </c>
      <c r="D7" s="4" t="s">
        <v>848</v>
      </c>
      <c r="E7" s="4" t="s">
        <v>159</v>
      </c>
      <c r="F7" s="4" t="s">
        <v>19</v>
      </c>
      <c r="G7" s="4" t="s">
        <v>859</v>
      </c>
      <c r="H7" s="4" t="s">
        <v>860</v>
      </c>
      <c r="I7" s="5">
        <v>44633</v>
      </c>
      <c r="J7" s="4" t="s">
        <v>861</v>
      </c>
      <c r="K7" s="4">
        <v>3</v>
      </c>
      <c r="L7" s="4">
        <v>4170</v>
      </c>
      <c r="M7" s="6" t="str">
        <f t="shared" si="0"/>
        <v>Senoir</v>
      </c>
      <c r="N7" s="6">
        <f t="shared" si="1"/>
        <v>1390</v>
      </c>
      <c r="O7" s="6" t="str">
        <f t="shared" si="2"/>
        <v>Regular</v>
      </c>
      <c r="P7" s="6">
        <f t="shared" ca="1" si="3"/>
        <v>51</v>
      </c>
      <c r="Q7" s="6" t="str">
        <f t="shared" si="4"/>
        <v>Medium Spender</v>
      </c>
      <c r="R7" s="6" t="str">
        <f t="shared" si="5"/>
        <v>Less active</v>
      </c>
      <c r="W7" s="13" t="s">
        <v>1268</v>
      </c>
      <c r="X7">
        <v>229</v>
      </c>
      <c r="Y7">
        <v>1384488.85</v>
      </c>
    </row>
    <row r="8" spans="1:25" x14ac:dyDescent="0.3">
      <c r="A8" s="8" t="s">
        <v>104</v>
      </c>
      <c r="B8" s="2" t="s">
        <v>105</v>
      </c>
      <c r="C8" s="2">
        <v>24</v>
      </c>
      <c r="D8" s="2" t="s">
        <v>848</v>
      </c>
      <c r="E8" s="2" t="s">
        <v>106</v>
      </c>
      <c r="F8" s="2" t="s">
        <v>19</v>
      </c>
      <c r="G8" s="2" t="s">
        <v>862</v>
      </c>
      <c r="H8" s="2" t="s">
        <v>863</v>
      </c>
      <c r="I8" s="3">
        <v>44879</v>
      </c>
      <c r="J8" s="2" t="s">
        <v>851</v>
      </c>
      <c r="K8" s="2">
        <v>9</v>
      </c>
      <c r="L8" s="2">
        <v>45005</v>
      </c>
      <c r="M8" s="6" t="str">
        <f t="shared" si="0"/>
        <v>Young</v>
      </c>
      <c r="N8" s="6">
        <f t="shared" si="1"/>
        <v>5000.5555555555557</v>
      </c>
      <c r="O8" s="6" t="str">
        <f t="shared" si="2"/>
        <v>Premium</v>
      </c>
      <c r="P8" s="6">
        <f t="shared" ca="1" si="3"/>
        <v>43</v>
      </c>
      <c r="Q8" s="6" t="str">
        <f t="shared" si="4"/>
        <v>High Spender</v>
      </c>
      <c r="R8" s="6" t="str">
        <f t="shared" si="5"/>
        <v>Less active</v>
      </c>
      <c r="W8" s="13" t="s">
        <v>1266</v>
      </c>
      <c r="X8">
        <v>71</v>
      </c>
      <c r="Y8">
        <v>228016.2</v>
      </c>
    </row>
    <row r="9" spans="1:25" x14ac:dyDescent="0.3">
      <c r="A9" s="9" t="s">
        <v>152</v>
      </c>
      <c r="B9" s="4" t="s">
        <v>153</v>
      </c>
      <c r="C9" s="4">
        <v>42</v>
      </c>
      <c r="D9" s="4" t="s">
        <v>848</v>
      </c>
      <c r="E9" s="4" t="s">
        <v>154</v>
      </c>
      <c r="F9" s="4" t="s">
        <v>155</v>
      </c>
      <c r="G9" s="4" t="s">
        <v>864</v>
      </c>
      <c r="H9" s="4" t="s">
        <v>865</v>
      </c>
      <c r="I9" s="5">
        <v>44867</v>
      </c>
      <c r="J9" s="4" t="s">
        <v>854</v>
      </c>
      <c r="K9" s="4">
        <v>5</v>
      </c>
      <c r="L9" s="4">
        <v>5599</v>
      </c>
      <c r="M9" s="6" t="str">
        <f t="shared" si="0"/>
        <v>Senoir</v>
      </c>
      <c r="N9" s="6">
        <f t="shared" si="1"/>
        <v>1119.8</v>
      </c>
      <c r="O9" s="6" t="str">
        <f t="shared" si="2"/>
        <v>Regular</v>
      </c>
      <c r="P9" s="6">
        <f t="shared" ca="1" si="3"/>
        <v>43</v>
      </c>
      <c r="Q9" s="6" t="str">
        <f t="shared" si="4"/>
        <v>Medium Spender</v>
      </c>
      <c r="R9" s="6" t="str">
        <f t="shared" si="5"/>
        <v>Less active</v>
      </c>
      <c r="W9" s="13" t="s">
        <v>1249</v>
      </c>
      <c r="X9">
        <v>500</v>
      </c>
      <c r="Y9">
        <v>3395389.1500000004</v>
      </c>
    </row>
    <row r="10" spans="1:25" x14ac:dyDescent="0.3">
      <c r="A10" s="8" t="s">
        <v>66</v>
      </c>
      <c r="B10" s="2" t="s">
        <v>67</v>
      </c>
      <c r="C10" s="2">
        <v>29</v>
      </c>
      <c r="D10" s="2" t="s">
        <v>844</v>
      </c>
      <c r="E10" s="2" t="s">
        <v>68</v>
      </c>
      <c r="F10" s="2" t="s">
        <v>19</v>
      </c>
      <c r="G10" s="2" t="s">
        <v>866</v>
      </c>
      <c r="H10" s="2" t="s">
        <v>867</v>
      </c>
      <c r="I10" s="3">
        <v>44568</v>
      </c>
      <c r="J10" s="2" t="s">
        <v>861</v>
      </c>
      <c r="K10" s="2">
        <v>3</v>
      </c>
      <c r="L10" s="2">
        <v>37634</v>
      </c>
      <c r="M10" s="6" t="str">
        <f t="shared" si="0"/>
        <v>Adult</v>
      </c>
      <c r="N10" s="6">
        <f t="shared" si="1"/>
        <v>12544.666666666666</v>
      </c>
      <c r="O10" s="6" t="str">
        <f t="shared" si="2"/>
        <v>Premium</v>
      </c>
      <c r="P10" s="6">
        <f t="shared" ca="1" si="3"/>
        <v>53</v>
      </c>
      <c r="Q10" s="6" t="str">
        <f t="shared" si="4"/>
        <v>High Spender</v>
      </c>
      <c r="R10" s="6" t="str">
        <f t="shared" si="5"/>
        <v>Less active</v>
      </c>
    </row>
    <row r="11" spans="1:25" x14ac:dyDescent="0.3">
      <c r="A11" s="9" t="s">
        <v>140</v>
      </c>
      <c r="B11" s="4" t="s">
        <v>141</v>
      </c>
      <c r="C11" s="4">
        <v>52</v>
      </c>
      <c r="D11" s="4" t="s">
        <v>844</v>
      </c>
      <c r="E11" s="4" t="s">
        <v>68</v>
      </c>
      <c r="F11" s="4" t="s">
        <v>19</v>
      </c>
      <c r="G11" s="4" t="s">
        <v>868</v>
      </c>
      <c r="H11" s="4" t="s">
        <v>869</v>
      </c>
      <c r="I11" s="5">
        <v>44629</v>
      </c>
      <c r="J11" s="4" t="s">
        <v>851</v>
      </c>
      <c r="K11" s="4">
        <v>5</v>
      </c>
      <c r="L11" s="4">
        <v>7120</v>
      </c>
      <c r="M11" s="6" t="str">
        <f t="shared" si="0"/>
        <v>Senoir</v>
      </c>
      <c r="N11" s="6">
        <f t="shared" si="1"/>
        <v>1424</v>
      </c>
      <c r="O11" s="6" t="str">
        <f t="shared" si="2"/>
        <v>Regular</v>
      </c>
      <c r="P11" s="6">
        <f t="shared" ca="1" si="3"/>
        <v>51</v>
      </c>
      <c r="Q11" s="6" t="str">
        <f t="shared" si="4"/>
        <v>Medium Spender</v>
      </c>
      <c r="R11" s="6" t="str">
        <f t="shared" si="5"/>
        <v>Less active</v>
      </c>
    </row>
    <row r="12" spans="1:25" x14ac:dyDescent="0.3">
      <c r="A12" s="8" t="s">
        <v>174</v>
      </c>
      <c r="B12" s="2" t="s">
        <v>175</v>
      </c>
      <c r="C12" s="2">
        <v>23</v>
      </c>
      <c r="D12" s="2" t="s">
        <v>848</v>
      </c>
      <c r="E12" s="2" t="s">
        <v>176</v>
      </c>
      <c r="F12" s="2" t="s">
        <v>177</v>
      </c>
      <c r="G12" s="2" t="s">
        <v>870</v>
      </c>
      <c r="H12" s="2" t="s">
        <v>871</v>
      </c>
      <c r="I12" s="3">
        <v>44654</v>
      </c>
      <c r="J12" s="2" t="s">
        <v>851</v>
      </c>
      <c r="K12" s="2">
        <v>4</v>
      </c>
      <c r="L12" s="2">
        <v>14670</v>
      </c>
      <c r="M12" s="6" t="str">
        <f t="shared" si="0"/>
        <v>Young</v>
      </c>
      <c r="N12" s="6">
        <f t="shared" si="1"/>
        <v>3667.5</v>
      </c>
      <c r="O12" s="6" t="str">
        <f t="shared" si="2"/>
        <v>Premium</v>
      </c>
      <c r="P12" s="6">
        <f t="shared" ca="1" si="3"/>
        <v>50</v>
      </c>
      <c r="Q12" s="6" t="str">
        <f t="shared" si="4"/>
        <v>Medium Spender</v>
      </c>
      <c r="R12" s="6" t="str">
        <f t="shared" si="5"/>
        <v>Less active</v>
      </c>
    </row>
    <row r="13" spans="1:25" x14ac:dyDescent="0.3">
      <c r="A13" s="9" t="s">
        <v>421</v>
      </c>
      <c r="B13" s="4" t="s">
        <v>377</v>
      </c>
      <c r="C13" s="4">
        <v>33</v>
      </c>
      <c r="D13" s="4" t="s">
        <v>844</v>
      </c>
      <c r="E13" s="4" t="s">
        <v>147</v>
      </c>
      <c r="F13" s="4" t="s">
        <v>19</v>
      </c>
      <c r="G13" s="4" t="s">
        <v>872</v>
      </c>
      <c r="H13" s="4" t="s">
        <v>873</v>
      </c>
      <c r="I13" s="5">
        <v>44583</v>
      </c>
      <c r="J13" s="4" t="s">
        <v>851</v>
      </c>
      <c r="K13" s="4">
        <v>5</v>
      </c>
      <c r="L13" s="4">
        <v>20979.5</v>
      </c>
      <c r="M13" s="6" t="str">
        <f t="shared" si="0"/>
        <v>Adult</v>
      </c>
      <c r="N13" s="6">
        <f t="shared" si="1"/>
        <v>4195.8999999999996</v>
      </c>
      <c r="O13" s="6" t="str">
        <f t="shared" si="2"/>
        <v>Premium</v>
      </c>
      <c r="P13" s="6">
        <f t="shared" ca="1" si="3"/>
        <v>52</v>
      </c>
      <c r="Q13" s="6" t="str">
        <f t="shared" si="4"/>
        <v>High Spender</v>
      </c>
      <c r="R13" s="6" t="str">
        <f t="shared" si="5"/>
        <v>Less active</v>
      </c>
    </row>
    <row r="14" spans="1:25" x14ac:dyDescent="0.3">
      <c r="A14" s="8" t="s">
        <v>272</v>
      </c>
      <c r="B14" s="2" t="s">
        <v>273</v>
      </c>
      <c r="C14" s="2">
        <v>51</v>
      </c>
      <c r="D14" s="2" t="s">
        <v>844</v>
      </c>
      <c r="E14" s="2" t="s">
        <v>27</v>
      </c>
      <c r="F14" s="2" t="s">
        <v>19</v>
      </c>
      <c r="G14" s="2" t="s">
        <v>874</v>
      </c>
      <c r="H14" s="2" t="s">
        <v>875</v>
      </c>
      <c r="I14" s="3">
        <v>44648</v>
      </c>
      <c r="J14" s="2" t="s">
        <v>851</v>
      </c>
      <c r="K14" s="2">
        <v>7</v>
      </c>
      <c r="L14" s="2">
        <v>19241</v>
      </c>
      <c r="M14" s="6" t="str">
        <f t="shared" si="0"/>
        <v>Senoir</v>
      </c>
      <c r="N14" s="6">
        <f t="shared" si="1"/>
        <v>2748.7142857142858</v>
      </c>
      <c r="O14" s="6" t="str">
        <f t="shared" si="2"/>
        <v>Premium</v>
      </c>
      <c r="P14" s="6">
        <f t="shared" ca="1" si="3"/>
        <v>50</v>
      </c>
      <c r="Q14" s="6" t="str">
        <f t="shared" si="4"/>
        <v>High Spender</v>
      </c>
      <c r="R14" s="6" t="str">
        <f t="shared" si="5"/>
        <v>Less active</v>
      </c>
    </row>
    <row r="15" spans="1:25" x14ac:dyDescent="0.3">
      <c r="A15" s="9" t="s">
        <v>289</v>
      </c>
      <c r="B15" s="4" t="s">
        <v>290</v>
      </c>
      <c r="C15" s="4">
        <v>32</v>
      </c>
      <c r="D15" s="4" t="s">
        <v>848</v>
      </c>
      <c r="E15" s="4" t="s">
        <v>41</v>
      </c>
      <c r="F15" s="4" t="s">
        <v>19</v>
      </c>
      <c r="G15" s="4" t="s">
        <v>876</v>
      </c>
      <c r="H15" s="4" t="s">
        <v>877</v>
      </c>
      <c r="I15" s="5">
        <v>44628</v>
      </c>
      <c r="J15" s="4" t="s">
        <v>854</v>
      </c>
      <c r="K15" s="4">
        <v>8</v>
      </c>
      <c r="L15" s="4">
        <v>185092.6</v>
      </c>
      <c r="M15" s="6" t="str">
        <f t="shared" si="0"/>
        <v>Adult</v>
      </c>
      <c r="N15" s="6">
        <f t="shared" si="1"/>
        <v>23136.575000000001</v>
      </c>
      <c r="O15" s="6" t="str">
        <f t="shared" si="2"/>
        <v>Premium</v>
      </c>
      <c r="P15" s="6">
        <f t="shared" ca="1" si="3"/>
        <v>51</v>
      </c>
      <c r="Q15" s="6" t="str">
        <f t="shared" si="4"/>
        <v>High Spender</v>
      </c>
      <c r="R15" s="6" t="str">
        <f t="shared" si="5"/>
        <v>Less active</v>
      </c>
    </row>
    <row r="16" spans="1:25" x14ac:dyDescent="0.3">
      <c r="A16" s="8" t="s">
        <v>465</v>
      </c>
      <c r="B16" s="2" t="s">
        <v>466</v>
      </c>
      <c r="C16" s="2">
        <v>28</v>
      </c>
      <c r="D16" s="2" t="s">
        <v>848</v>
      </c>
      <c r="E16" s="2" t="s">
        <v>137</v>
      </c>
      <c r="F16" s="2" t="s">
        <v>19</v>
      </c>
      <c r="G16" s="2" t="s">
        <v>878</v>
      </c>
      <c r="H16" s="2" t="s">
        <v>879</v>
      </c>
      <c r="I16" s="3">
        <v>44856</v>
      </c>
      <c r="J16" s="2" t="s">
        <v>851</v>
      </c>
      <c r="K16" s="2">
        <v>7</v>
      </c>
      <c r="L16" s="2">
        <v>17515</v>
      </c>
      <c r="M16" s="6" t="str">
        <f t="shared" si="0"/>
        <v>Adult</v>
      </c>
      <c r="N16" s="6">
        <f t="shared" si="1"/>
        <v>2502.1428571428573</v>
      </c>
      <c r="O16" s="6" t="str">
        <f t="shared" si="2"/>
        <v>Premium</v>
      </c>
      <c r="P16" s="6">
        <f t="shared" ca="1" si="3"/>
        <v>43</v>
      </c>
      <c r="Q16" s="6" t="str">
        <f t="shared" si="4"/>
        <v>High Spender</v>
      </c>
      <c r="R16" s="6" t="str">
        <f t="shared" si="5"/>
        <v>Less active</v>
      </c>
    </row>
    <row r="17" spans="1:18" x14ac:dyDescent="0.3">
      <c r="A17" s="9" t="s">
        <v>735</v>
      </c>
      <c r="B17" s="4" t="s">
        <v>401</v>
      </c>
      <c r="C17" s="4">
        <v>44</v>
      </c>
      <c r="D17" s="4" t="s">
        <v>848</v>
      </c>
      <c r="E17" s="4" t="s">
        <v>299</v>
      </c>
      <c r="F17" s="4" t="s">
        <v>19</v>
      </c>
      <c r="G17" s="4" t="s">
        <v>880</v>
      </c>
      <c r="H17" s="4" t="s">
        <v>881</v>
      </c>
      <c r="I17" s="5">
        <v>44790</v>
      </c>
      <c r="J17" s="4" t="s">
        <v>861</v>
      </c>
      <c r="K17" s="4">
        <v>3</v>
      </c>
      <c r="L17" s="4">
        <v>6575</v>
      </c>
      <c r="M17" s="6" t="str">
        <f t="shared" si="0"/>
        <v>Senoir</v>
      </c>
      <c r="N17" s="6">
        <f t="shared" si="1"/>
        <v>2191.6666666666665</v>
      </c>
      <c r="O17" s="6" t="str">
        <f t="shared" si="2"/>
        <v>Regular</v>
      </c>
      <c r="P17" s="6">
        <f t="shared" ca="1" si="3"/>
        <v>45</v>
      </c>
      <c r="Q17" s="6" t="str">
        <f t="shared" si="4"/>
        <v>Medium Spender</v>
      </c>
      <c r="R17" s="6" t="str">
        <f t="shared" si="5"/>
        <v>Less active</v>
      </c>
    </row>
    <row r="18" spans="1:18" x14ac:dyDescent="0.3">
      <c r="A18" s="8" t="s">
        <v>234</v>
      </c>
      <c r="B18" s="2" t="s">
        <v>235</v>
      </c>
      <c r="C18" s="2">
        <v>37</v>
      </c>
      <c r="D18" s="2" t="s">
        <v>848</v>
      </c>
      <c r="E18" s="2" t="s">
        <v>52</v>
      </c>
      <c r="F18" s="2" t="s">
        <v>53</v>
      </c>
      <c r="G18" s="2" t="s">
        <v>882</v>
      </c>
      <c r="H18" s="2" t="s">
        <v>883</v>
      </c>
      <c r="I18" s="3">
        <v>44759</v>
      </c>
      <c r="J18" s="2" t="s">
        <v>861</v>
      </c>
      <c r="K18" s="2">
        <v>6</v>
      </c>
      <c r="L18" s="2">
        <v>28372.5</v>
      </c>
      <c r="M18" s="6" t="str">
        <f t="shared" si="0"/>
        <v>Adult</v>
      </c>
      <c r="N18" s="6">
        <f t="shared" si="1"/>
        <v>4728.75</v>
      </c>
      <c r="O18" s="6" t="str">
        <f t="shared" si="2"/>
        <v>Premium</v>
      </c>
      <c r="P18" s="6">
        <f t="shared" ca="1" si="3"/>
        <v>46</v>
      </c>
      <c r="Q18" s="6" t="str">
        <f t="shared" si="4"/>
        <v>High Spender</v>
      </c>
      <c r="R18" s="6" t="str">
        <f t="shared" si="5"/>
        <v>Less active</v>
      </c>
    </row>
    <row r="19" spans="1:18" x14ac:dyDescent="0.3">
      <c r="A19" s="9" t="s">
        <v>81</v>
      </c>
      <c r="B19" s="4" t="s">
        <v>82</v>
      </c>
      <c r="C19" s="4">
        <v>45</v>
      </c>
      <c r="D19" s="4" t="s">
        <v>848</v>
      </c>
      <c r="E19" s="4" t="s">
        <v>83</v>
      </c>
      <c r="F19" s="4" t="s">
        <v>19</v>
      </c>
      <c r="G19" s="4" t="s">
        <v>884</v>
      </c>
      <c r="H19" s="4" t="s">
        <v>885</v>
      </c>
      <c r="I19" s="5">
        <v>44679</v>
      </c>
      <c r="J19" s="4" t="s">
        <v>851</v>
      </c>
      <c r="K19" s="4">
        <v>3</v>
      </c>
      <c r="L19" s="4">
        <v>3384</v>
      </c>
      <c r="M19" s="6" t="str">
        <f t="shared" si="0"/>
        <v>Senoir</v>
      </c>
      <c r="N19" s="6">
        <f t="shared" si="1"/>
        <v>1128</v>
      </c>
      <c r="O19" s="6" t="str">
        <f t="shared" si="2"/>
        <v>Regular</v>
      </c>
      <c r="P19" s="6">
        <f t="shared" ca="1" si="3"/>
        <v>49</v>
      </c>
      <c r="Q19" s="6" t="str">
        <f t="shared" si="4"/>
        <v>Medium Spender</v>
      </c>
      <c r="R19" s="6" t="str">
        <f t="shared" si="5"/>
        <v>Less active</v>
      </c>
    </row>
    <row r="20" spans="1:18" x14ac:dyDescent="0.3">
      <c r="A20" s="8" t="s">
        <v>376</v>
      </c>
      <c r="B20" s="2" t="s">
        <v>377</v>
      </c>
      <c r="C20" s="2">
        <v>47</v>
      </c>
      <c r="D20" s="2" t="s">
        <v>844</v>
      </c>
      <c r="E20" s="2" t="s">
        <v>270</v>
      </c>
      <c r="F20" s="2" t="s">
        <v>19</v>
      </c>
      <c r="G20" s="2" t="s">
        <v>886</v>
      </c>
      <c r="H20" s="2" t="s">
        <v>887</v>
      </c>
      <c r="I20" s="3">
        <v>44720</v>
      </c>
      <c r="J20" s="2" t="s">
        <v>861</v>
      </c>
      <c r="K20" s="2">
        <v>3</v>
      </c>
      <c r="L20" s="2">
        <v>182797.5</v>
      </c>
      <c r="M20" s="6" t="str">
        <f t="shared" si="0"/>
        <v>Senoir</v>
      </c>
      <c r="N20" s="6">
        <f t="shared" si="1"/>
        <v>60932.5</v>
      </c>
      <c r="O20" s="6" t="str">
        <f t="shared" si="2"/>
        <v>Premium</v>
      </c>
      <c r="P20" s="6">
        <f t="shared" ca="1" si="3"/>
        <v>48</v>
      </c>
      <c r="Q20" s="6" t="str">
        <f t="shared" si="4"/>
        <v>High Spender</v>
      </c>
      <c r="R20" s="6" t="str">
        <f t="shared" si="5"/>
        <v>Less active</v>
      </c>
    </row>
    <row r="21" spans="1:18" x14ac:dyDescent="0.3">
      <c r="A21" s="9" t="s">
        <v>157</v>
      </c>
      <c r="B21" s="4" t="s">
        <v>158</v>
      </c>
      <c r="C21" s="4">
        <v>40</v>
      </c>
      <c r="D21" s="4" t="s">
        <v>848</v>
      </c>
      <c r="E21" s="4" t="s">
        <v>159</v>
      </c>
      <c r="F21" s="4" t="s">
        <v>19</v>
      </c>
      <c r="G21" s="4" t="s">
        <v>888</v>
      </c>
      <c r="H21" s="4" t="s">
        <v>889</v>
      </c>
      <c r="I21" s="5">
        <v>44643</v>
      </c>
      <c r="J21" s="4" t="s">
        <v>851</v>
      </c>
      <c r="K21" s="4">
        <v>9</v>
      </c>
      <c r="L21" s="4">
        <v>21310.25</v>
      </c>
      <c r="M21" s="6" t="str">
        <f t="shared" si="0"/>
        <v>Senoir</v>
      </c>
      <c r="N21" s="6">
        <f t="shared" si="1"/>
        <v>2367.8055555555557</v>
      </c>
      <c r="O21" s="6" t="str">
        <f t="shared" si="2"/>
        <v>Premium</v>
      </c>
      <c r="P21" s="6">
        <f t="shared" ca="1" si="3"/>
        <v>50</v>
      </c>
      <c r="Q21" s="6" t="str">
        <f t="shared" si="4"/>
        <v>High Spender</v>
      </c>
      <c r="R21" s="6" t="str">
        <f t="shared" si="5"/>
        <v>Less active</v>
      </c>
    </row>
    <row r="22" spans="1:18" x14ac:dyDescent="0.3">
      <c r="A22" s="8" t="s">
        <v>618</v>
      </c>
      <c r="B22" s="2" t="s">
        <v>619</v>
      </c>
      <c r="C22" s="2">
        <v>40</v>
      </c>
      <c r="D22" s="2" t="s">
        <v>844</v>
      </c>
      <c r="E22" s="2" t="s">
        <v>230</v>
      </c>
      <c r="F22" s="2" t="s">
        <v>19</v>
      </c>
      <c r="G22" s="2" t="s">
        <v>890</v>
      </c>
      <c r="H22" s="2" t="s">
        <v>891</v>
      </c>
      <c r="I22" s="3">
        <v>44681</v>
      </c>
      <c r="J22" s="2" t="s">
        <v>851</v>
      </c>
      <c r="K22" s="2">
        <v>3</v>
      </c>
      <c r="L22" s="2">
        <v>31344</v>
      </c>
      <c r="M22" s="6" t="str">
        <f t="shared" si="0"/>
        <v>Senoir</v>
      </c>
      <c r="N22" s="6">
        <f t="shared" si="1"/>
        <v>10448</v>
      </c>
      <c r="O22" s="6" t="str">
        <f t="shared" si="2"/>
        <v>Premium</v>
      </c>
      <c r="P22" s="6">
        <f t="shared" ca="1" si="3"/>
        <v>49</v>
      </c>
      <c r="Q22" s="6" t="str">
        <f t="shared" si="4"/>
        <v>High Spender</v>
      </c>
      <c r="R22" s="6" t="str">
        <f t="shared" si="5"/>
        <v>Less active</v>
      </c>
    </row>
    <row r="23" spans="1:18" x14ac:dyDescent="0.3">
      <c r="A23" s="9" t="s">
        <v>394</v>
      </c>
      <c r="B23" s="4" t="s">
        <v>395</v>
      </c>
      <c r="C23" s="4">
        <v>39</v>
      </c>
      <c r="D23" s="4" t="s">
        <v>844</v>
      </c>
      <c r="E23" s="4" t="s">
        <v>83</v>
      </c>
      <c r="F23" s="4" t="s">
        <v>19</v>
      </c>
      <c r="G23" s="4" t="s">
        <v>892</v>
      </c>
      <c r="H23" s="4" t="s">
        <v>893</v>
      </c>
      <c r="I23" s="5">
        <v>44788</v>
      </c>
      <c r="J23" s="4" t="s">
        <v>861</v>
      </c>
      <c r="K23" s="4">
        <v>9</v>
      </c>
      <c r="L23" s="4">
        <v>103835</v>
      </c>
      <c r="M23" s="6" t="str">
        <f t="shared" si="0"/>
        <v>Adult</v>
      </c>
      <c r="N23" s="6">
        <f t="shared" si="1"/>
        <v>11537.222222222223</v>
      </c>
      <c r="O23" s="6" t="str">
        <f t="shared" si="2"/>
        <v>Premium</v>
      </c>
      <c r="P23" s="6">
        <f t="shared" ca="1" si="3"/>
        <v>45</v>
      </c>
      <c r="Q23" s="6" t="str">
        <f t="shared" si="4"/>
        <v>High Spender</v>
      </c>
      <c r="R23" s="6" t="str">
        <f t="shared" si="5"/>
        <v>Less active</v>
      </c>
    </row>
    <row r="24" spans="1:18" x14ac:dyDescent="0.3">
      <c r="A24" s="8" t="s">
        <v>507</v>
      </c>
      <c r="B24" s="2" t="s">
        <v>508</v>
      </c>
      <c r="C24" s="2">
        <v>38</v>
      </c>
      <c r="D24" s="2" t="s">
        <v>848</v>
      </c>
      <c r="E24" s="2" t="s">
        <v>171</v>
      </c>
      <c r="F24" s="2" t="s">
        <v>19</v>
      </c>
      <c r="G24" s="2" t="s">
        <v>894</v>
      </c>
      <c r="H24" s="2" t="s">
        <v>895</v>
      </c>
      <c r="I24" s="3">
        <v>44911</v>
      </c>
      <c r="J24" s="2" t="s">
        <v>847</v>
      </c>
      <c r="K24" s="2">
        <v>4</v>
      </c>
      <c r="L24" s="2">
        <v>33880</v>
      </c>
      <c r="M24" s="6" t="str">
        <f t="shared" si="0"/>
        <v>Adult</v>
      </c>
      <c r="N24" s="6">
        <f t="shared" si="1"/>
        <v>8470</v>
      </c>
      <c r="O24" s="6" t="str">
        <f t="shared" si="2"/>
        <v>Premium</v>
      </c>
      <c r="P24" s="6">
        <f t="shared" ca="1" si="3"/>
        <v>41</v>
      </c>
      <c r="Q24" s="6" t="str">
        <f t="shared" si="4"/>
        <v>High Spender</v>
      </c>
      <c r="R24" s="6" t="str">
        <f t="shared" si="5"/>
        <v>Less active</v>
      </c>
    </row>
    <row r="25" spans="1:18" x14ac:dyDescent="0.3">
      <c r="A25" s="9" t="s">
        <v>100</v>
      </c>
      <c r="B25" s="4" t="s">
        <v>101</v>
      </c>
      <c r="C25" s="4">
        <v>51</v>
      </c>
      <c r="D25" s="4" t="s">
        <v>848</v>
      </c>
      <c r="E25" s="4" t="s">
        <v>27</v>
      </c>
      <c r="F25" s="4" t="s">
        <v>19</v>
      </c>
      <c r="G25" s="4" t="s">
        <v>896</v>
      </c>
      <c r="H25" s="4" t="s">
        <v>897</v>
      </c>
      <c r="I25" s="5">
        <v>44611</v>
      </c>
      <c r="J25" s="4" t="s">
        <v>847</v>
      </c>
      <c r="K25" s="4">
        <v>5</v>
      </c>
      <c r="L25" s="4">
        <v>15436</v>
      </c>
      <c r="M25" s="6" t="str">
        <f t="shared" si="0"/>
        <v>Senoir</v>
      </c>
      <c r="N25" s="6">
        <f t="shared" si="1"/>
        <v>3087.2</v>
      </c>
      <c r="O25" s="6" t="str">
        <f t="shared" si="2"/>
        <v>Premium</v>
      </c>
      <c r="P25" s="6">
        <f t="shared" ca="1" si="3"/>
        <v>51</v>
      </c>
      <c r="Q25" s="6" t="str">
        <f t="shared" si="4"/>
        <v>High Spender</v>
      </c>
      <c r="R25" s="6" t="str">
        <f t="shared" si="5"/>
        <v>Less active</v>
      </c>
    </row>
    <row r="26" spans="1:18" x14ac:dyDescent="0.3">
      <c r="A26" s="8" t="s">
        <v>268</v>
      </c>
      <c r="B26" s="2" t="s">
        <v>269</v>
      </c>
      <c r="C26" s="2">
        <v>47</v>
      </c>
      <c r="D26" s="2" t="s">
        <v>848</v>
      </c>
      <c r="E26" s="2" t="s">
        <v>270</v>
      </c>
      <c r="F26" s="2" t="s">
        <v>19</v>
      </c>
      <c r="G26" s="2" t="s">
        <v>898</v>
      </c>
      <c r="H26" s="2" t="s">
        <v>899</v>
      </c>
      <c r="I26" s="3">
        <v>44666</v>
      </c>
      <c r="J26" s="2" t="s">
        <v>861</v>
      </c>
      <c r="K26" s="2">
        <v>5</v>
      </c>
      <c r="L26" s="2">
        <v>4968.5</v>
      </c>
      <c r="M26" s="6" t="str">
        <f t="shared" si="0"/>
        <v>Senoir</v>
      </c>
      <c r="N26" s="6">
        <f t="shared" si="1"/>
        <v>993.7</v>
      </c>
      <c r="O26" s="6" t="str">
        <f t="shared" si="2"/>
        <v>Regular</v>
      </c>
      <c r="P26" s="6">
        <f t="shared" ca="1" si="3"/>
        <v>49</v>
      </c>
      <c r="Q26" s="6" t="str">
        <f t="shared" si="4"/>
        <v>Medium Spender</v>
      </c>
      <c r="R26" s="6" t="str">
        <f t="shared" si="5"/>
        <v>Less active</v>
      </c>
    </row>
    <row r="27" spans="1:18" x14ac:dyDescent="0.3">
      <c r="A27" s="9" t="s">
        <v>472</v>
      </c>
      <c r="B27" s="4" t="s">
        <v>473</v>
      </c>
      <c r="C27" s="4">
        <v>23</v>
      </c>
      <c r="D27" s="4" t="s">
        <v>844</v>
      </c>
      <c r="E27" s="4" t="s">
        <v>133</v>
      </c>
      <c r="F27" s="4" t="s">
        <v>19</v>
      </c>
      <c r="G27" s="4" t="s">
        <v>900</v>
      </c>
      <c r="H27" s="4" t="s">
        <v>901</v>
      </c>
      <c r="I27" s="5">
        <v>44708</v>
      </c>
      <c r="J27" s="4" t="s">
        <v>851</v>
      </c>
      <c r="K27" s="4">
        <v>3</v>
      </c>
      <c r="L27" s="4">
        <v>3264</v>
      </c>
      <c r="M27" s="6" t="str">
        <f t="shared" si="0"/>
        <v>Young</v>
      </c>
      <c r="N27" s="6">
        <f t="shared" si="1"/>
        <v>1088</v>
      </c>
      <c r="O27" s="6" t="str">
        <f t="shared" si="2"/>
        <v>Regular</v>
      </c>
      <c r="P27" s="6">
        <f t="shared" ca="1" si="3"/>
        <v>48</v>
      </c>
      <c r="Q27" s="6" t="str">
        <f t="shared" si="4"/>
        <v>Medium Spender</v>
      </c>
      <c r="R27" s="6" t="str">
        <f t="shared" si="5"/>
        <v>Less active</v>
      </c>
    </row>
    <row r="28" spans="1:18" x14ac:dyDescent="0.3">
      <c r="A28" s="8" t="s">
        <v>437</v>
      </c>
      <c r="B28" s="2" t="s">
        <v>438</v>
      </c>
      <c r="C28" s="2">
        <v>24</v>
      </c>
      <c r="D28" s="2" t="s">
        <v>848</v>
      </c>
      <c r="E28" s="2" t="s">
        <v>79</v>
      </c>
      <c r="F28" s="2" t="s">
        <v>79</v>
      </c>
      <c r="G28" s="2" t="s">
        <v>902</v>
      </c>
      <c r="H28" s="2" t="s">
        <v>903</v>
      </c>
      <c r="I28" s="3">
        <v>44911</v>
      </c>
      <c r="J28" s="2" t="s">
        <v>847</v>
      </c>
      <c r="K28" s="2">
        <v>6</v>
      </c>
      <c r="L28" s="2">
        <v>9336.5</v>
      </c>
      <c r="M28" s="6" t="str">
        <f t="shared" si="0"/>
        <v>Young</v>
      </c>
      <c r="N28" s="6">
        <f t="shared" si="1"/>
        <v>1556.0833333333333</v>
      </c>
      <c r="O28" s="6" t="str">
        <f t="shared" si="2"/>
        <v>Regular</v>
      </c>
      <c r="P28" s="6">
        <f t="shared" ca="1" si="3"/>
        <v>41</v>
      </c>
      <c r="Q28" s="6" t="str">
        <f t="shared" si="4"/>
        <v>Medium Spender</v>
      </c>
      <c r="R28" s="6" t="str">
        <f t="shared" si="5"/>
        <v>Less active</v>
      </c>
    </row>
    <row r="29" spans="1:18" x14ac:dyDescent="0.3">
      <c r="A29" s="9" t="s">
        <v>241</v>
      </c>
      <c r="B29" s="4" t="s">
        <v>242</v>
      </c>
      <c r="C29" s="4">
        <v>37</v>
      </c>
      <c r="D29" s="4" t="s">
        <v>848</v>
      </c>
      <c r="E29" s="4" t="s">
        <v>230</v>
      </c>
      <c r="F29" s="4" t="s">
        <v>19</v>
      </c>
      <c r="G29" s="4" t="s">
        <v>904</v>
      </c>
      <c r="H29" s="4" t="s">
        <v>905</v>
      </c>
      <c r="I29" s="5">
        <v>44706</v>
      </c>
      <c r="J29" s="4" t="s">
        <v>847</v>
      </c>
      <c r="K29" s="4">
        <v>11</v>
      </c>
      <c r="L29" s="4">
        <v>57708</v>
      </c>
      <c r="M29" s="6" t="str">
        <f t="shared" si="0"/>
        <v>Adult</v>
      </c>
      <c r="N29" s="6">
        <f t="shared" si="1"/>
        <v>5246.181818181818</v>
      </c>
      <c r="O29" s="6" t="str">
        <f t="shared" si="2"/>
        <v>Premium</v>
      </c>
      <c r="P29" s="6">
        <f t="shared" ca="1" si="3"/>
        <v>48</v>
      </c>
      <c r="Q29" s="6" t="str">
        <f t="shared" si="4"/>
        <v>High Spender</v>
      </c>
      <c r="R29" s="6" t="str">
        <f t="shared" si="5"/>
        <v>Active</v>
      </c>
    </row>
    <row r="30" spans="1:18" x14ac:dyDescent="0.3">
      <c r="A30" s="8" t="s">
        <v>400</v>
      </c>
      <c r="B30" s="2" t="s">
        <v>401</v>
      </c>
      <c r="C30" s="2">
        <v>28</v>
      </c>
      <c r="D30" s="2" t="s">
        <v>844</v>
      </c>
      <c r="E30" s="2" t="s">
        <v>137</v>
      </c>
      <c r="F30" s="2" t="s">
        <v>19</v>
      </c>
      <c r="G30" s="2" t="s">
        <v>906</v>
      </c>
      <c r="H30" s="2" t="s">
        <v>907</v>
      </c>
      <c r="I30" s="3">
        <v>44757</v>
      </c>
      <c r="J30" s="2" t="s">
        <v>851</v>
      </c>
      <c r="K30" s="2">
        <v>6</v>
      </c>
      <c r="L30" s="2">
        <v>37546</v>
      </c>
      <c r="M30" s="6" t="str">
        <f t="shared" si="0"/>
        <v>Adult</v>
      </c>
      <c r="N30" s="6">
        <f t="shared" si="1"/>
        <v>6257.666666666667</v>
      </c>
      <c r="O30" s="6" t="str">
        <f t="shared" si="2"/>
        <v>Premium</v>
      </c>
      <c r="P30" s="6">
        <f t="shared" ca="1" si="3"/>
        <v>46</v>
      </c>
      <c r="Q30" s="6" t="str">
        <f t="shared" si="4"/>
        <v>High Spender</v>
      </c>
      <c r="R30" s="6" t="str">
        <f t="shared" si="5"/>
        <v>Less active</v>
      </c>
    </row>
    <row r="31" spans="1:18" x14ac:dyDescent="0.3">
      <c r="A31" s="9" t="s">
        <v>180</v>
      </c>
      <c r="B31" s="4" t="s">
        <v>181</v>
      </c>
      <c r="C31" s="4">
        <v>39</v>
      </c>
      <c r="D31" s="4" t="s">
        <v>844</v>
      </c>
      <c r="E31" s="4" t="s">
        <v>35</v>
      </c>
      <c r="F31" s="4" t="s">
        <v>19</v>
      </c>
      <c r="G31" s="4" t="s">
        <v>908</v>
      </c>
      <c r="H31" s="4" t="s">
        <v>909</v>
      </c>
      <c r="I31" s="5">
        <v>44606</v>
      </c>
      <c r="J31" s="4" t="s">
        <v>861</v>
      </c>
      <c r="K31" s="4">
        <v>6</v>
      </c>
      <c r="L31" s="4">
        <v>9946.5</v>
      </c>
      <c r="M31" s="6" t="str">
        <f t="shared" si="0"/>
        <v>Adult</v>
      </c>
      <c r="N31" s="6">
        <f t="shared" si="1"/>
        <v>1657.75</v>
      </c>
      <c r="O31" s="6" t="str">
        <f t="shared" si="2"/>
        <v>Regular</v>
      </c>
      <c r="P31" s="6">
        <f t="shared" ca="1" si="3"/>
        <v>52</v>
      </c>
      <c r="Q31" s="6" t="str">
        <f t="shared" si="4"/>
        <v>Medium Spender</v>
      </c>
      <c r="R31" s="6" t="str">
        <f t="shared" si="5"/>
        <v>Less active</v>
      </c>
    </row>
    <row r="32" spans="1:18" x14ac:dyDescent="0.3">
      <c r="A32" s="8" t="s">
        <v>244</v>
      </c>
      <c r="B32" s="2" t="s">
        <v>245</v>
      </c>
      <c r="C32" s="2">
        <v>27</v>
      </c>
      <c r="D32" s="2" t="s">
        <v>848</v>
      </c>
      <c r="E32" s="2" t="s">
        <v>137</v>
      </c>
      <c r="F32" s="2" t="s">
        <v>19</v>
      </c>
      <c r="G32" s="2" t="s">
        <v>910</v>
      </c>
      <c r="H32" s="2" t="s">
        <v>911</v>
      </c>
      <c r="I32" s="3">
        <v>44668</v>
      </c>
      <c r="J32" s="2" t="s">
        <v>851</v>
      </c>
      <c r="K32" s="2">
        <v>3</v>
      </c>
      <c r="L32" s="2">
        <v>15160</v>
      </c>
      <c r="M32" s="6" t="str">
        <f t="shared" si="0"/>
        <v>Adult</v>
      </c>
      <c r="N32" s="6">
        <f t="shared" si="1"/>
        <v>5053.333333333333</v>
      </c>
      <c r="O32" s="6" t="str">
        <f t="shared" si="2"/>
        <v>Premium</v>
      </c>
      <c r="P32" s="6">
        <f t="shared" ca="1" si="3"/>
        <v>49</v>
      </c>
      <c r="Q32" s="6" t="str">
        <f t="shared" si="4"/>
        <v>High Spender</v>
      </c>
      <c r="R32" s="6" t="str">
        <f t="shared" si="5"/>
        <v>Less active</v>
      </c>
    </row>
    <row r="33" spans="1:18" x14ac:dyDescent="0.3">
      <c r="A33" s="9" t="s">
        <v>16</v>
      </c>
      <c r="B33" s="4" t="s">
        <v>17</v>
      </c>
      <c r="C33" s="4">
        <v>35</v>
      </c>
      <c r="D33" s="4" t="s">
        <v>844</v>
      </c>
      <c r="E33" s="4" t="s">
        <v>18</v>
      </c>
      <c r="F33" s="4" t="s">
        <v>19</v>
      </c>
      <c r="G33" s="4" t="s">
        <v>912</v>
      </c>
      <c r="H33" s="4" t="s">
        <v>913</v>
      </c>
      <c r="I33" s="5">
        <v>44648</v>
      </c>
      <c r="J33" s="4" t="s">
        <v>851</v>
      </c>
      <c r="K33" s="4">
        <v>6</v>
      </c>
      <c r="L33" s="4">
        <v>14058.5</v>
      </c>
      <c r="M33" s="6" t="str">
        <f t="shared" si="0"/>
        <v>Adult</v>
      </c>
      <c r="N33" s="6">
        <f t="shared" si="1"/>
        <v>2343.0833333333335</v>
      </c>
      <c r="O33" s="6" t="str">
        <f t="shared" si="2"/>
        <v>Premium</v>
      </c>
      <c r="P33" s="6">
        <f t="shared" ca="1" si="3"/>
        <v>50</v>
      </c>
      <c r="Q33" s="6" t="str">
        <f t="shared" si="4"/>
        <v>Medium Spender</v>
      </c>
      <c r="R33" s="6" t="str">
        <f t="shared" si="5"/>
        <v>Less active</v>
      </c>
    </row>
    <row r="34" spans="1:18" x14ac:dyDescent="0.3">
      <c r="A34" s="8" t="s">
        <v>61</v>
      </c>
      <c r="B34" s="2" t="s">
        <v>62</v>
      </c>
      <c r="C34" s="2">
        <v>50</v>
      </c>
      <c r="D34" s="2" t="s">
        <v>844</v>
      </c>
      <c r="E34" s="2" t="s">
        <v>35</v>
      </c>
      <c r="F34" s="2" t="s">
        <v>19</v>
      </c>
      <c r="G34" s="2" t="s">
        <v>914</v>
      </c>
      <c r="H34" s="2" t="s">
        <v>915</v>
      </c>
      <c r="I34" s="3">
        <v>44796</v>
      </c>
      <c r="J34" s="2" t="s">
        <v>861</v>
      </c>
      <c r="K34" s="2">
        <v>8</v>
      </c>
      <c r="L34" s="2">
        <v>25501</v>
      </c>
      <c r="M34" s="6" t="str">
        <f t="shared" si="0"/>
        <v>Senoir</v>
      </c>
      <c r="N34" s="6">
        <f t="shared" si="1"/>
        <v>3187.625</v>
      </c>
      <c r="O34" s="6" t="str">
        <f t="shared" si="2"/>
        <v>Premium</v>
      </c>
      <c r="P34" s="6">
        <f t="shared" ca="1" si="3"/>
        <v>45</v>
      </c>
      <c r="Q34" s="6" t="str">
        <f t="shared" si="4"/>
        <v>High Spender</v>
      </c>
      <c r="R34" s="6" t="str">
        <f t="shared" si="5"/>
        <v>Less active</v>
      </c>
    </row>
    <row r="35" spans="1:18" x14ac:dyDescent="0.3">
      <c r="A35" s="9" t="s">
        <v>251</v>
      </c>
      <c r="B35" s="4" t="s">
        <v>252</v>
      </c>
      <c r="C35" s="4">
        <v>53</v>
      </c>
      <c r="D35" s="4" t="s">
        <v>848</v>
      </c>
      <c r="E35" s="4" t="s">
        <v>253</v>
      </c>
      <c r="F35" s="4" t="s">
        <v>155</v>
      </c>
      <c r="G35" s="4" t="s">
        <v>916</v>
      </c>
      <c r="H35" s="4" t="s">
        <v>917</v>
      </c>
      <c r="I35" s="5">
        <v>44724</v>
      </c>
      <c r="J35" s="4" t="s">
        <v>851</v>
      </c>
      <c r="K35" s="4">
        <v>5</v>
      </c>
      <c r="L35" s="4">
        <v>193561.45</v>
      </c>
      <c r="M35" s="6" t="str">
        <f t="shared" si="0"/>
        <v>Senoir</v>
      </c>
      <c r="N35" s="6">
        <f t="shared" si="1"/>
        <v>38712.29</v>
      </c>
      <c r="O35" s="6" t="str">
        <f t="shared" si="2"/>
        <v>Premium</v>
      </c>
      <c r="P35" s="6">
        <f t="shared" ca="1" si="3"/>
        <v>48</v>
      </c>
      <c r="Q35" s="6" t="str">
        <f t="shared" si="4"/>
        <v>High Spender</v>
      </c>
      <c r="R35" s="6" t="str">
        <f t="shared" si="5"/>
        <v>Less active</v>
      </c>
    </row>
    <row r="36" spans="1:18" x14ac:dyDescent="0.3">
      <c r="A36" s="8" t="s">
        <v>397</v>
      </c>
      <c r="B36" s="2" t="s">
        <v>398</v>
      </c>
      <c r="C36" s="2">
        <v>42</v>
      </c>
      <c r="D36" s="2" t="s">
        <v>848</v>
      </c>
      <c r="E36" s="2" t="s">
        <v>299</v>
      </c>
      <c r="F36" s="2" t="s">
        <v>19</v>
      </c>
      <c r="G36" s="2" t="s">
        <v>918</v>
      </c>
      <c r="H36" s="2" t="s">
        <v>919</v>
      </c>
      <c r="I36" s="3">
        <v>44616</v>
      </c>
      <c r="J36" s="2" t="s">
        <v>854</v>
      </c>
      <c r="K36" s="2">
        <v>8</v>
      </c>
      <c r="L36" s="2">
        <v>26968</v>
      </c>
      <c r="M36" s="6" t="str">
        <f t="shared" si="0"/>
        <v>Senoir</v>
      </c>
      <c r="N36" s="6">
        <f t="shared" si="1"/>
        <v>3371</v>
      </c>
      <c r="O36" s="6" t="str">
        <f t="shared" si="2"/>
        <v>Premium</v>
      </c>
      <c r="P36" s="6">
        <f t="shared" ca="1" si="3"/>
        <v>51</v>
      </c>
      <c r="Q36" s="6" t="str">
        <f t="shared" si="4"/>
        <v>High Spender</v>
      </c>
      <c r="R36" s="6" t="str">
        <f t="shared" si="5"/>
        <v>Less active</v>
      </c>
    </row>
    <row r="37" spans="1:18" x14ac:dyDescent="0.3">
      <c r="A37" s="9" t="s">
        <v>187</v>
      </c>
      <c r="B37" s="4" t="s">
        <v>188</v>
      </c>
      <c r="C37" s="4">
        <v>54</v>
      </c>
      <c r="D37" s="4" t="s">
        <v>848</v>
      </c>
      <c r="E37" s="4" t="s">
        <v>90</v>
      </c>
      <c r="F37" s="4" t="s">
        <v>19</v>
      </c>
      <c r="G37" s="4" t="s">
        <v>920</v>
      </c>
      <c r="H37" s="4" t="s">
        <v>921</v>
      </c>
      <c r="I37" s="5">
        <v>44579</v>
      </c>
      <c r="J37" s="4" t="s">
        <v>861</v>
      </c>
      <c r="K37" s="4">
        <v>5</v>
      </c>
      <c r="L37" s="4">
        <v>23640</v>
      </c>
      <c r="M37" s="6" t="str">
        <f t="shared" si="0"/>
        <v>Senoir</v>
      </c>
      <c r="N37" s="6">
        <f t="shared" si="1"/>
        <v>4728</v>
      </c>
      <c r="O37" s="6" t="str">
        <f t="shared" si="2"/>
        <v>Premium</v>
      </c>
      <c r="P37" s="6">
        <f t="shared" ca="1" si="3"/>
        <v>52</v>
      </c>
      <c r="Q37" s="6" t="str">
        <f t="shared" si="4"/>
        <v>High Spender</v>
      </c>
      <c r="R37" s="6" t="str">
        <f t="shared" si="5"/>
        <v>Less active</v>
      </c>
    </row>
    <row r="38" spans="1:18" x14ac:dyDescent="0.3">
      <c r="A38" s="8" t="s">
        <v>122</v>
      </c>
      <c r="B38" s="2" t="s">
        <v>123</v>
      </c>
      <c r="C38" s="2">
        <v>36</v>
      </c>
      <c r="D38" s="2" t="s">
        <v>848</v>
      </c>
      <c r="E38" s="2" t="s">
        <v>68</v>
      </c>
      <c r="F38" s="2" t="s">
        <v>19</v>
      </c>
      <c r="G38" s="2" t="s">
        <v>922</v>
      </c>
      <c r="H38" s="2" t="s">
        <v>923</v>
      </c>
      <c r="I38" s="3">
        <v>44710</v>
      </c>
      <c r="J38" s="2" t="s">
        <v>861</v>
      </c>
      <c r="K38" s="2">
        <v>4</v>
      </c>
      <c r="L38" s="2">
        <v>17555</v>
      </c>
      <c r="M38" s="6" t="str">
        <f t="shared" si="0"/>
        <v>Adult</v>
      </c>
      <c r="N38" s="6">
        <f t="shared" si="1"/>
        <v>4388.75</v>
      </c>
      <c r="O38" s="6" t="str">
        <f t="shared" si="2"/>
        <v>Premium</v>
      </c>
      <c r="P38" s="6">
        <f t="shared" ca="1" si="3"/>
        <v>48</v>
      </c>
      <c r="Q38" s="6" t="str">
        <f t="shared" si="4"/>
        <v>High Spender</v>
      </c>
      <c r="R38" s="6" t="str">
        <f t="shared" si="5"/>
        <v>Less active</v>
      </c>
    </row>
    <row r="39" spans="1:18" x14ac:dyDescent="0.3">
      <c r="A39" s="9" t="s">
        <v>94</v>
      </c>
      <c r="B39" s="4" t="s">
        <v>95</v>
      </c>
      <c r="C39" s="4">
        <v>32</v>
      </c>
      <c r="D39" s="4" t="s">
        <v>848</v>
      </c>
      <c r="E39" s="4" t="s">
        <v>79</v>
      </c>
      <c r="F39" s="4" t="s">
        <v>79</v>
      </c>
      <c r="G39" s="4" t="s">
        <v>924</v>
      </c>
      <c r="H39" s="4" t="s">
        <v>925</v>
      </c>
      <c r="I39" s="5">
        <v>44596</v>
      </c>
      <c r="J39" s="4" t="s">
        <v>861</v>
      </c>
      <c r="K39" s="4">
        <v>3</v>
      </c>
      <c r="L39" s="4">
        <v>4911</v>
      </c>
      <c r="M39" s="6" t="str">
        <f t="shared" si="0"/>
        <v>Adult</v>
      </c>
      <c r="N39" s="6">
        <f t="shared" si="1"/>
        <v>1637</v>
      </c>
      <c r="O39" s="6" t="str">
        <f t="shared" si="2"/>
        <v>Regular</v>
      </c>
      <c r="P39" s="6">
        <f t="shared" ca="1" si="3"/>
        <v>52</v>
      </c>
      <c r="Q39" s="6" t="str">
        <f t="shared" si="4"/>
        <v>Medium Spender</v>
      </c>
      <c r="R39" s="6" t="str">
        <f t="shared" si="5"/>
        <v>Less active</v>
      </c>
    </row>
    <row r="40" spans="1:18" x14ac:dyDescent="0.3">
      <c r="A40" s="8" t="s">
        <v>551</v>
      </c>
      <c r="B40" s="2" t="s">
        <v>552</v>
      </c>
      <c r="C40" s="2">
        <v>47</v>
      </c>
      <c r="D40" s="2" t="s">
        <v>844</v>
      </c>
      <c r="E40" s="2" t="s">
        <v>18</v>
      </c>
      <c r="F40" s="2" t="s">
        <v>19</v>
      </c>
      <c r="G40" s="2" t="s">
        <v>926</v>
      </c>
      <c r="H40" s="2" t="s">
        <v>927</v>
      </c>
      <c r="I40" s="3">
        <v>44823</v>
      </c>
      <c r="J40" s="2" t="s">
        <v>847</v>
      </c>
      <c r="K40" s="2">
        <v>4</v>
      </c>
      <c r="L40" s="2">
        <v>19180</v>
      </c>
      <c r="M40" s="6" t="str">
        <f t="shared" si="0"/>
        <v>Senoir</v>
      </c>
      <c r="N40" s="6">
        <f t="shared" si="1"/>
        <v>4795</v>
      </c>
      <c r="O40" s="6" t="str">
        <f t="shared" si="2"/>
        <v>Premium</v>
      </c>
      <c r="P40" s="6">
        <f t="shared" ca="1" si="3"/>
        <v>44</v>
      </c>
      <c r="Q40" s="6" t="str">
        <f t="shared" si="4"/>
        <v>High Spender</v>
      </c>
      <c r="R40" s="6" t="str">
        <f t="shared" si="5"/>
        <v>Less active</v>
      </c>
    </row>
    <row r="41" spans="1:18" x14ac:dyDescent="0.3">
      <c r="A41" s="9" t="s">
        <v>113</v>
      </c>
      <c r="B41" s="4" t="s">
        <v>114</v>
      </c>
      <c r="C41" s="4">
        <v>20</v>
      </c>
      <c r="D41" s="4" t="s">
        <v>848</v>
      </c>
      <c r="E41" s="4" t="s">
        <v>115</v>
      </c>
      <c r="F41" s="4" t="s">
        <v>19</v>
      </c>
      <c r="G41" s="4" t="s">
        <v>928</v>
      </c>
      <c r="H41" s="4" t="s">
        <v>929</v>
      </c>
      <c r="I41" s="5">
        <v>44858</v>
      </c>
      <c r="J41" s="4" t="s">
        <v>847</v>
      </c>
      <c r="K41" s="4">
        <v>3</v>
      </c>
      <c r="L41" s="4">
        <v>4656.2</v>
      </c>
      <c r="M41" s="6" t="str">
        <f t="shared" si="0"/>
        <v>Young</v>
      </c>
      <c r="N41" s="6">
        <f t="shared" si="1"/>
        <v>1552.0666666666666</v>
      </c>
      <c r="O41" s="6" t="str">
        <f t="shared" si="2"/>
        <v>Regular</v>
      </c>
      <c r="P41" s="6">
        <f t="shared" ca="1" si="3"/>
        <v>43</v>
      </c>
      <c r="Q41" s="6" t="str">
        <f t="shared" si="4"/>
        <v>Medium Spender</v>
      </c>
      <c r="R41" s="6" t="str">
        <f t="shared" si="5"/>
        <v>Less active</v>
      </c>
    </row>
    <row r="42" spans="1:18" x14ac:dyDescent="0.3">
      <c r="A42" s="8" t="s">
        <v>228</v>
      </c>
      <c r="B42" s="2" t="s">
        <v>229</v>
      </c>
      <c r="C42" s="2">
        <v>52</v>
      </c>
      <c r="D42" s="2" t="s">
        <v>844</v>
      </c>
      <c r="E42" s="2" t="s">
        <v>230</v>
      </c>
      <c r="F42" s="2" t="s">
        <v>19</v>
      </c>
      <c r="G42" s="2" t="s">
        <v>930</v>
      </c>
      <c r="H42" s="2" t="s">
        <v>931</v>
      </c>
      <c r="I42" s="3">
        <v>44761</v>
      </c>
      <c r="J42" s="2" t="s">
        <v>851</v>
      </c>
      <c r="K42" s="2">
        <v>7</v>
      </c>
      <c r="L42" s="2">
        <v>11378</v>
      </c>
      <c r="M42" s="6" t="str">
        <f t="shared" si="0"/>
        <v>Senoir</v>
      </c>
      <c r="N42" s="6">
        <f t="shared" si="1"/>
        <v>1625.4285714285713</v>
      </c>
      <c r="O42" s="6" t="str">
        <f t="shared" si="2"/>
        <v>Premium</v>
      </c>
      <c r="P42" s="6">
        <f t="shared" ca="1" si="3"/>
        <v>46</v>
      </c>
      <c r="Q42" s="6" t="str">
        <f t="shared" si="4"/>
        <v>Medium Spender</v>
      </c>
      <c r="R42" s="6" t="str">
        <f t="shared" si="5"/>
        <v>Less active</v>
      </c>
    </row>
    <row r="43" spans="1:18" x14ac:dyDescent="0.3">
      <c r="A43" s="9" t="s">
        <v>523</v>
      </c>
      <c r="B43" s="4" t="s">
        <v>524</v>
      </c>
      <c r="C43" s="4">
        <v>44</v>
      </c>
      <c r="D43" s="4" t="s">
        <v>844</v>
      </c>
      <c r="E43" s="4" t="s">
        <v>18</v>
      </c>
      <c r="F43" s="4" t="s">
        <v>19</v>
      </c>
      <c r="G43" s="4" t="s">
        <v>932</v>
      </c>
      <c r="H43" s="4" t="s">
        <v>933</v>
      </c>
      <c r="I43" s="5">
        <v>44657</v>
      </c>
      <c r="J43" s="4" t="s">
        <v>851</v>
      </c>
      <c r="K43" s="4">
        <v>2</v>
      </c>
      <c r="L43" s="4">
        <v>1782.4</v>
      </c>
      <c r="M43" s="6" t="str">
        <f t="shared" si="0"/>
        <v>Senoir</v>
      </c>
      <c r="N43" s="6">
        <f t="shared" si="1"/>
        <v>891.2</v>
      </c>
      <c r="O43" s="6" t="str">
        <f t="shared" si="2"/>
        <v>Regular</v>
      </c>
      <c r="P43" s="6">
        <f t="shared" ca="1" si="3"/>
        <v>50</v>
      </c>
      <c r="Q43" s="6" t="str">
        <f t="shared" si="4"/>
        <v>Medium Spender</v>
      </c>
      <c r="R43" s="6" t="str">
        <f t="shared" si="5"/>
        <v>Less active</v>
      </c>
    </row>
    <row r="44" spans="1:18" x14ac:dyDescent="0.3">
      <c r="A44" s="8" t="s">
        <v>684</v>
      </c>
      <c r="B44" s="2" t="s">
        <v>685</v>
      </c>
      <c r="C44" s="2">
        <v>20</v>
      </c>
      <c r="D44" s="2" t="s">
        <v>844</v>
      </c>
      <c r="E44" s="2" t="s">
        <v>154</v>
      </c>
      <c r="F44" s="2" t="s">
        <v>155</v>
      </c>
      <c r="G44" s="2" t="s">
        <v>934</v>
      </c>
      <c r="H44" s="2" t="s">
        <v>935</v>
      </c>
      <c r="I44" s="3">
        <v>44679</v>
      </c>
      <c r="J44" s="2" t="s">
        <v>851</v>
      </c>
      <c r="K44" s="2">
        <v>3</v>
      </c>
      <c r="L44" s="2">
        <v>2858</v>
      </c>
      <c r="M44" s="6" t="str">
        <f t="shared" si="0"/>
        <v>Young</v>
      </c>
      <c r="N44" s="6">
        <f t="shared" si="1"/>
        <v>952.66666666666663</v>
      </c>
      <c r="O44" s="6" t="str">
        <f t="shared" si="2"/>
        <v>Regular</v>
      </c>
      <c r="P44" s="6">
        <f t="shared" ca="1" si="3"/>
        <v>49</v>
      </c>
      <c r="Q44" s="6" t="str">
        <f t="shared" si="4"/>
        <v>Medium Spender</v>
      </c>
      <c r="R44" s="6" t="str">
        <f t="shared" si="5"/>
        <v>Less active</v>
      </c>
    </row>
    <row r="45" spans="1:18" x14ac:dyDescent="0.3">
      <c r="A45" s="9" t="s">
        <v>563</v>
      </c>
      <c r="B45" s="4" t="s">
        <v>564</v>
      </c>
      <c r="C45" s="4">
        <v>41</v>
      </c>
      <c r="D45" s="4" t="s">
        <v>844</v>
      </c>
      <c r="E45" s="4" t="s">
        <v>90</v>
      </c>
      <c r="F45" s="4" t="s">
        <v>19</v>
      </c>
      <c r="G45" s="4" t="s">
        <v>936</v>
      </c>
      <c r="H45" s="4" t="s">
        <v>937</v>
      </c>
      <c r="I45" s="5">
        <v>44822</v>
      </c>
      <c r="J45" s="4" t="s">
        <v>861</v>
      </c>
      <c r="K45" s="4">
        <v>3</v>
      </c>
      <c r="L45" s="4">
        <v>4880</v>
      </c>
      <c r="M45" s="6" t="str">
        <f t="shared" si="0"/>
        <v>Senoir</v>
      </c>
      <c r="N45" s="6">
        <f t="shared" si="1"/>
        <v>1626.6666666666667</v>
      </c>
      <c r="O45" s="6" t="str">
        <f t="shared" si="2"/>
        <v>Regular</v>
      </c>
      <c r="P45" s="6">
        <f t="shared" ca="1" si="3"/>
        <v>44</v>
      </c>
      <c r="Q45" s="6" t="str">
        <f t="shared" si="4"/>
        <v>Medium Spender</v>
      </c>
      <c r="R45" s="6" t="str">
        <f t="shared" si="5"/>
        <v>Less active</v>
      </c>
    </row>
    <row r="46" spans="1:18" x14ac:dyDescent="0.3">
      <c r="A46" s="8" t="s">
        <v>118</v>
      </c>
      <c r="B46" s="2" t="s">
        <v>119</v>
      </c>
      <c r="C46" s="2">
        <v>36</v>
      </c>
      <c r="D46" s="2" t="s">
        <v>848</v>
      </c>
      <c r="E46" s="2" t="s">
        <v>35</v>
      </c>
      <c r="F46" s="2" t="s">
        <v>19</v>
      </c>
      <c r="G46" s="2" t="s">
        <v>938</v>
      </c>
      <c r="H46" s="2" t="s">
        <v>939</v>
      </c>
      <c r="I46" s="3">
        <v>44678</v>
      </c>
      <c r="J46" s="2" t="s">
        <v>851</v>
      </c>
      <c r="K46" s="2">
        <v>9</v>
      </c>
      <c r="L46" s="2">
        <v>44808.65</v>
      </c>
      <c r="M46" s="6" t="str">
        <f t="shared" si="0"/>
        <v>Adult</v>
      </c>
      <c r="N46" s="6">
        <f t="shared" si="1"/>
        <v>4978.7388888888891</v>
      </c>
      <c r="O46" s="6" t="str">
        <f t="shared" si="2"/>
        <v>Premium</v>
      </c>
      <c r="P46" s="6">
        <f t="shared" ca="1" si="3"/>
        <v>49</v>
      </c>
      <c r="Q46" s="6" t="str">
        <f t="shared" si="4"/>
        <v>High Spender</v>
      </c>
      <c r="R46" s="6" t="str">
        <f t="shared" si="5"/>
        <v>Less active</v>
      </c>
    </row>
    <row r="47" spans="1:18" x14ac:dyDescent="0.3">
      <c r="A47" s="9" t="s">
        <v>529</v>
      </c>
      <c r="B47" s="4" t="s">
        <v>530</v>
      </c>
      <c r="C47" s="4">
        <v>35</v>
      </c>
      <c r="D47" s="4" t="s">
        <v>844</v>
      </c>
      <c r="E47" s="4" t="s">
        <v>137</v>
      </c>
      <c r="F47" s="4" t="s">
        <v>19</v>
      </c>
      <c r="G47" s="4" t="s">
        <v>940</v>
      </c>
      <c r="H47" s="4" t="s">
        <v>941</v>
      </c>
      <c r="I47" s="5">
        <v>44709</v>
      </c>
      <c r="J47" s="4" t="s">
        <v>847</v>
      </c>
      <c r="K47" s="4">
        <v>4</v>
      </c>
      <c r="L47" s="4">
        <v>3659</v>
      </c>
      <c r="M47" s="6" t="str">
        <f t="shared" si="0"/>
        <v>Adult</v>
      </c>
      <c r="N47" s="6">
        <f t="shared" si="1"/>
        <v>914.75</v>
      </c>
      <c r="O47" s="6" t="str">
        <f t="shared" si="2"/>
        <v>Regular</v>
      </c>
      <c r="P47" s="6">
        <f t="shared" ca="1" si="3"/>
        <v>48</v>
      </c>
      <c r="Q47" s="6" t="str">
        <f t="shared" si="4"/>
        <v>Medium Spender</v>
      </c>
      <c r="R47" s="6" t="str">
        <f t="shared" si="5"/>
        <v>Less active</v>
      </c>
    </row>
    <row r="48" spans="1:18" x14ac:dyDescent="0.3">
      <c r="A48" s="8" t="s">
        <v>161</v>
      </c>
      <c r="B48" s="2" t="s">
        <v>162</v>
      </c>
      <c r="C48" s="2">
        <v>39</v>
      </c>
      <c r="D48" s="2" t="s">
        <v>848</v>
      </c>
      <c r="E48" s="2" t="s">
        <v>83</v>
      </c>
      <c r="F48" s="2" t="s">
        <v>19</v>
      </c>
      <c r="G48" s="2" t="s">
        <v>942</v>
      </c>
      <c r="H48" s="2" t="s">
        <v>943</v>
      </c>
      <c r="I48" s="3">
        <v>44849</v>
      </c>
      <c r="J48" s="2" t="s">
        <v>851</v>
      </c>
      <c r="K48" s="2">
        <v>8</v>
      </c>
      <c r="L48" s="2">
        <v>17181.599999999999</v>
      </c>
      <c r="M48" s="6" t="str">
        <f t="shared" si="0"/>
        <v>Adult</v>
      </c>
      <c r="N48" s="6">
        <f t="shared" si="1"/>
        <v>2147.6999999999998</v>
      </c>
      <c r="O48" s="6" t="str">
        <f t="shared" si="2"/>
        <v>Premium</v>
      </c>
      <c r="P48" s="6">
        <f t="shared" ca="1" si="3"/>
        <v>43</v>
      </c>
      <c r="Q48" s="6" t="str">
        <f t="shared" si="4"/>
        <v>High Spender</v>
      </c>
      <c r="R48" s="6" t="str">
        <f t="shared" si="5"/>
        <v>Less active</v>
      </c>
    </row>
    <row r="49" spans="1:18" x14ac:dyDescent="0.3">
      <c r="A49" s="9" t="s">
        <v>263</v>
      </c>
      <c r="B49" s="4" t="s">
        <v>264</v>
      </c>
      <c r="C49" s="4">
        <v>54</v>
      </c>
      <c r="D49" s="4" t="s">
        <v>844</v>
      </c>
      <c r="E49" s="4" t="s">
        <v>265</v>
      </c>
      <c r="F49" s="4" t="s">
        <v>266</v>
      </c>
      <c r="G49" s="4" t="s">
        <v>944</v>
      </c>
      <c r="H49" s="4" t="s">
        <v>945</v>
      </c>
      <c r="I49" s="5">
        <v>44749</v>
      </c>
      <c r="J49" s="4" t="s">
        <v>854</v>
      </c>
      <c r="K49" s="4">
        <v>6</v>
      </c>
      <c r="L49" s="4">
        <v>92999.8</v>
      </c>
      <c r="M49" s="6" t="str">
        <f t="shared" si="0"/>
        <v>Senoir</v>
      </c>
      <c r="N49" s="6">
        <f t="shared" si="1"/>
        <v>15499.966666666667</v>
      </c>
      <c r="O49" s="6" t="str">
        <f t="shared" si="2"/>
        <v>Premium</v>
      </c>
      <c r="P49" s="6">
        <f t="shared" ca="1" si="3"/>
        <v>47</v>
      </c>
      <c r="Q49" s="6" t="str">
        <f t="shared" si="4"/>
        <v>High Spender</v>
      </c>
      <c r="R49" s="6" t="str">
        <f t="shared" si="5"/>
        <v>Less active</v>
      </c>
    </row>
    <row r="50" spans="1:18" x14ac:dyDescent="0.3">
      <c r="A50" s="8" t="s">
        <v>39</v>
      </c>
      <c r="B50" s="2" t="s">
        <v>40</v>
      </c>
      <c r="C50" s="2">
        <v>50</v>
      </c>
      <c r="D50" s="2" t="s">
        <v>844</v>
      </c>
      <c r="E50" s="2" t="s">
        <v>41</v>
      </c>
      <c r="F50" s="2" t="s">
        <v>19</v>
      </c>
      <c r="G50" s="2" t="s">
        <v>946</v>
      </c>
      <c r="H50" s="2" t="s">
        <v>947</v>
      </c>
      <c r="I50" s="3">
        <v>44901</v>
      </c>
      <c r="J50" s="2" t="s">
        <v>851</v>
      </c>
      <c r="K50" s="2">
        <v>4</v>
      </c>
      <c r="L50" s="2">
        <v>5600</v>
      </c>
      <c r="M50" s="6" t="str">
        <f t="shared" si="0"/>
        <v>Senoir</v>
      </c>
      <c r="N50" s="6">
        <f t="shared" si="1"/>
        <v>1400</v>
      </c>
      <c r="O50" s="6" t="str">
        <f t="shared" si="2"/>
        <v>Regular</v>
      </c>
      <c r="P50" s="6">
        <f t="shared" ca="1" si="3"/>
        <v>42</v>
      </c>
      <c r="Q50" s="6" t="str">
        <f t="shared" si="4"/>
        <v>Medium Spender</v>
      </c>
      <c r="R50" s="6" t="str">
        <f t="shared" si="5"/>
        <v>Less active</v>
      </c>
    </row>
    <row r="51" spans="1:18" x14ac:dyDescent="0.3">
      <c r="A51" s="9" t="s">
        <v>613</v>
      </c>
      <c r="B51" s="4" t="s">
        <v>614</v>
      </c>
      <c r="C51" s="4">
        <v>29</v>
      </c>
      <c r="D51" s="4" t="s">
        <v>844</v>
      </c>
      <c r="E51" s="4" t="s">
        <v>154</v>
      </c>
      <c r="F51" s="4" t="s">
        <v>155</v>
      </c>
      <c r="G51" s="4" t="s">
        <v>948</v>
      </c>
      <c r="H51" s="4" t="s">
        <v>949</v>
      </c>
      <c r="I51" s="5">
        <v>44907</v>
      </c>
      <c r="J51" s="4" t="s">
        <v>851</v>
      </c>
      <c r="K51" s="4">
        <v>2</v>
      </c>
      <c r="L51" s="4">
        <v>16610</v>
      </c>
      <c r="M51" s="6" t="str">
        <f t="shared" si="0"/>
        <v>Adult</v>
      </c>
      <c r="N51" s="6">
        <f t="shared" si="1"/>
        <v>8305</v>
      </c>
      <c r="O51" s="6" t="str">
        <f t="shared" si="2"/>
        <v>Premium</v>
      </c>
      <c r="P51" s="6">
        <f t="shared" ca="1" si="3"/>
        <v>42</v>
      </c>
      <c r="Q51" s="6" t="str">
        <f t="shared" si="4"/>
        <v>High Spender</v>
      </c>
      <c r="R51" s="6" t="str">
        <f t="shared" si="5"/>
        <v>Less active</v>
      </c>
    </row>
    <row r="52" spans="1:18" x14ac:dyDescent="0.3">
      <c r="A52" s="8" t="s">
        <v>25</v>
      </c>
      <c r="B52" s="2" t="s">
        <v>26</v>
      </c>
      <c r="C52" s="2">
        <v>35</v>
      </c>
      <c r="D52" s="2" t="s">
        <v>848</v>
      </c>
      <c r="E52" s="2" t="s">
        <v>27</v>
      </c>
      <c r="F52" s="2" t="s">
        <v>19</v>
      </c>
      <c r="G52" s="2" t="s">
        <v>950</v>
      </c>
      <c r="H52" s="2" t="s">
        <v>951</v>
      </c>
      <c r="I52" s="3">
        <v>44887</v>
      </c>
      <c r="J52" s="2" t="s">
        <v>847</v>
      </c>
      <c r="K52" s="2">
        <v>8</v>
      </c>
      <c r="L52" s="2">
        <v>60285</v>
      </c>
      <c r="M52" s="6" t="str">
        <f t="shared" si="0"/>
        <v>Adult</v>
      </c>
      <c r="N52" s="6">
        <f t="shared" si="1"/>
        <v>7535.625</v>
      </c>
      <c r="O52" s="6" t="str">
        <f t="shared" si="2"/>
        <v>Premium</v>
      </c>
      <c r="P52" s="6">
        <f t="shared" ca="1" si="3"/>
        <v>42</v>
      </c>
      <c r="Q52" s="6" t="str">
        <f t="shared" si="4"/>
        <v>High Spender</v>
      </c>
      <c r="R52" s="6" t="str">
        <f t="shared" si="5"/>
        <v>Less active</v>
      </c>
    </row>
    <row r="53" spans="1:18" x14ac:dyDescent="0.3">
      <c r="A53" s="9" t="s">
        <v>952</v>
      </c>
      <c r="B53" s="4" t="s">
        <v>953</v>
      </c>
      <c r="C53" s="4">
        <v>50</v>
      </c>
      <c r="D53" s="4" t="s">
        <v>848</v>
      </c>
      <c r="E53" s="4" t="s">
        <v>154</v>
      </c>
      <c r="F53" s="4" t="s">
        <v>155</v>
      </c>
      <c r="G53" s="4" t="s">
        <v>954</v>
      </c>
      <c r="H53" s="4" t="s">
        <v>955</v>
      </c>
      <c r="I53" s="5">
        <v>44782</v>
      </c>
      <c r="J53" s="4" t="s">
        <v>851</v>
      </c>
      <c r="K53" s="4">
        <v>0</v>
      </c>
      <c r="L53" s="4">
        <v>0</v>
      </c>
      <c r="M53" s="6" t="str">
        <f t="shared" si="0"/>
        <v>Senoir</v>
      </c>
      <c r="N53" s="6" t="e">
        <f t="shared" si="1"/>
        <v>#DIV/0!</v>
      </c>
      <c r="O53" s="6" t="str">
        <f t="shared" si="2"/>
        <v>Regular</v>
      </c>
      <c r="P53" s="6">
        <f t="shared" ca="1" si="3"/>
        <v>46</v>
      </c>
      <c r="Q53" s="6" t="str">
        <f t="shared" si="4"/>
        <v>Medium Spender</v>
      </c>
      <c r="R53" s="6" t="str">
        <f t="shared" si="5"/>
        <v>Less active</v>
      </c>
    </row>
    <row r="54" spans="1:18" x14ac:dyDescent="0.3">
      <c r="A54" s="8" t="s">
        <v>77</v>
      </c>
      <c r="B54" s="2" t="s">
        <v>78</v>
      </c>
      <c r="C54" s="2">
        <v>39</v>
      </c>
      <c r="D54" s="2" t="s">
        <v>848</v>
      </c>
      <c r="E54" s="2" t="s">
        <v>79</v>
      </c>
      <c r="F54" s="2" t="s">
        <v>79</v>
      </c>
      <c r="G54" s="2" t="s">
        <v>956</v>
      </c>
      <c r="H54" s="2" t="s">
        <v>957</v>
      </c>
      <c r="I54" s="3">
        <v>44674</v>
      </c>
      <c r="J54" s="2" t="s">
        <v>854</v>
      </c>
      <c r="K54" s="2">
        <v>6</v>
      </c>
      <c r="L54" s="2">
        <v>68150</v>
      </c>
      <c r="M54" s="6" t="str">
        <f t="shared" si="0"/>
        <v>Adult</v>
      </c>
      <c r="N54" s="6">
        <f t="shared" si="1"/>
        <v>11358.333333333334</v>
      </c>
      <c r="O54" s="6" t="str">
        <f t="shared" si="2"/>
        <v>Premium</v>
      </c>
      <c r="P54" s="6">
        <f t="shared" ca="1" si="3"/>
        <v>49</v>
      </c>
      <c r="Q54" s="6" t="str">
        <f t="shared" si="4"/>
        <v>High Spender</v>
      </c>
      <c r="R54" s="6" t="str">
        <f t="shared" si="5"/>
        <v>Less active</v>
      </c>
    </row>
    <row r="55" spans="1:18" x14ac:dyDescent="0.3">
      <c r="A55" s="9" t="s">
        <v>33</v>
      </c>
      <c r="B55" s="4" t="s">
        <v>34</v>
      </c>
      <c r="C55" s="4">
        <v>27</v>
      </c>
      <c r="D55" s="4" t="s">
        <v>844</v>
      </c>
      <c r="E55" s="4" t="s">
        <v>35</v>
      </c>
      <c r="F55" s="4" t="s">
        <v>19</v>
      </c>
      <c r="G55" s="4" t="s">
        <v>958</v>
      </c>
      <c r="H55" s="4" t="s">
        <v>959</v>
      </c>
      <c r="I55" s="5">
        <v>44813</v>
      </c>
      <c r="J55" s="4" t="s">
        <v>851</v>
      </c>
      <c r="K55" s="4">
        <v>4</v>
      </c>
      <c r="L55" s="4">
        <v>3720</v>
      </c>
      <c r="M55" s="6" t="str">
        <f t="shared" si="0"/>
        <v>Adult</v>
      </c>
      <c r="N55" s="6">
        <f t="shared" si="1"/>
        <v>930</v>
      </c>
      <c r="O55" s="6" t="str">
        <f t="shared" si="2"/>
        <v>Regular</v>
      </c>
      <c r="P55" s="6">
        <f t="shared" ca="1" si="3"/>
        <v>45</v>
      </c>
      <c r="Q55" s="6" t="str">
        <f t="shared" si="4"/>
        <v>Medium Spender</v>
      </c>
      <c r="R55" s="6" t="str">
        <f t="shared" si="5"/>
        <v>Less active</v>
      </c>
    </row>
    <row r="56" spans="1:18" x14ac:dyDescent="0.3">
      <c r="A56" s="8" t="s">
        <v>373</v>
      </c>
      <c r="B56" s="2" t="s">
        <v>374</v>
      </c>
      <c r="C56" s="2">
        <v>21</v>
      </c>
      <c r="D56" s="2" t="s">
        <v>848</v>
      </c>
      <c r="E56" s="2" t="s">
        <v>171</v>
      </c>
      <c r="F56" s="2" t="s">
        <v>19</v>
      </c>
      <c r="G56" s="2" t="s">
        <v>960</v>
      </c>
      <c r="H56" s="2" t="s">
        <v>961</v>
      </c>
      <c r="I56" s="3">
        <v>44661</v>
      </c>
      <c r="J56" s="2" t="s">
        <v>851</v>
      </c>
      <c r="K56" s="2">
        <v>6</v>
      </c>
      <c r="L56" s="2">
        <v>7668.5</v>
      </c>
      <c r="M56" s="6" t="str">
        <f t="shared" si="0"/>
        <v>Young</v>
      </c>
      <c r="N56" s="6">
        <f t="shared" si="1"/>
        <v>1278.0833333333333</v>
      </c>
      <c r="O56" s="6" t="str">
        <f t="shared" si="2"/>
        <v>Regular</v>
      </c>
      <c r="P56" s="6">
        <f t="shared" ca="1" si="3"/>
        <v>50</v>
      </c>
      <c r="Q56" s="6" t="str">
        <f t="shared" si="4"/>
        <v>Medium Spender</v>
      </c>
      <c r="R56" s="6" t="str">
        <f t="shared" si="5"/>
        <v>Less active</v>
      </c>
    </row>
    <row r="57" spans="1:18" x14ac:dyDescent="0.3">
      <c r="A57" s="9" t="s">
        <v>348</v>
      </c>
      <c r="B57" s="4" t="s">
        <v>349</v>
      </c>
      <c r="C57" s="4">
        <v>53</v>
      </c>
      <c r="D57" s="4" t="s">
        <v>844</v>
      </c>
      <c r="E57" s="4" t="s">
        <v>171</v>
      </c>
      <c r="F57" s="4" t="s">
        <v>19</v>
      </c>
      <c r="G57" s="4" t="s">
        <v>962</v>
      </c>
      <c r="H57" s="4" t="s">
        <v>963</v>
      </c>
      <c r="I57" s="5">
        <v>44601</v>
      </c>
      <c r="J57" s="4" t="s">
        <v>851</v>
      </c>
      <c r="K57" s="4">
        <v>2</v>
      </c>
      <c r="L57" s="4">
        <v>16409</v>
      </c>
      <c r="M57" s="6" t="str">
        <f t="shared" si="0"/>
        <v>Senoir</v>
      </c>
      <c r="N57" s="6">
        <f t="shared" si="1"/>
        <v>8204.5</v>
      </c>
      <c r="O57" s="6" t="str">
        <f t="shared" si="2"/>
        <v>Premium</v>
      </c>
      <c r="P57" s="6">
        <f t="shared" ca="1" si="3"/>
        <v>52</v>
      </c>
      <c r="Q57" s="6" t="str">
        <f t="shared" si="4"/>
        <v>High Spender</v>
      </c>
      <c r="R57" s="6" t="str">
        <f t="shared" si="5"/>
        <v>Less active</v>
      </c>
    </row>
    <row r="58" spans="1:18" x14ac:dyDescent="0.3">
      <c r="A58" s="8" t="s">
        <v>169</v>
      </c>
      <c r="B58" s="2" t="s">
        <v>170</v>
      </c>
      <c r="C58" s="2">
        <v>36</v>
      </c>
      <c r="D58" s="2" t="s">
        <v>848</v>
      </c>
      <c r="E58" s="2" t="s">
        <v>171</v>
      </c>
      <c r="F58" s="2" t="s">
        <v>19</v>
      </c>
      <c r="G58" s="2" t="s">
        <v>964</v>
      </c>
      <c r="H58" s="2" t="s">
        <v>965</v>
      </c>
      <c r="I58" s="3">
        <v>44886</v>
      </c>
      <c r="J58" s="2" t="s">
        <v>854</v>
      </c>
      <c r="K58" s="2">
        <v>6</v>
      </c>
      <c r="L58" s="2">
        <v>142269</v>
      </c>
      <c r="M58" s="6" t="str">
        <f t="shared" si="0"/>
        <v>Adult</v>
      </c>
      <c r="N58" s="6">
        <f t="shared" si="1"/>
        <v>23711.5</v>
      </c>
      <c r="O58" s="6" t="str">
        <f t="shared" si="2"/>
        <v>Premium</v>
      </c>
      <c r="P58" s="6">
        <f t="shared" ca="1" si="3"/>
        <v>42</v>
      </c>
      <c r="Q58" s="6" t="str">
        <f t="shared" si="4"/>
        <v>High Spender</v>
      </c>
      <c r="R58" s="6" t="str">
        <f t="shared" si="5"/>
        <v>Less active</v>
      </c>
    </row>
    <row r="59" spans="1:18" x14ac:dyDescent="0.3">
      <c r="A59" s="9" t="s">
        <v>382</v>
      </c>
      <c r="B59" s="4" t="s">
        <v>349</v>
      </c>
      <c r="C59" s="4">
        <v>58</v>
      </c>
      <c r="D59" s="4" t="s">
        <v>848</v>
      </c>
      <c r="E59" s="4" t="s">
        <v>35</v>
      </c>
      <c r="F59" s="4" t="s">
        <v>19</v>
      </c>
      <c r="G59" s="4" t="s">
        <v>966</v>
      </c>
      <c r="H59" s="4" t="s">
        <v>967</v>
      </c>
      <c r="I59" s="5">
        <v>44747</v>
      </c>
      <c r="J59" s="4" t="s">
        <v>861</v>
      </c>
      <c r="K59" s="4">
        <v>6</v>
      </c>
      <c r="L59" s="4">
        <v>70978</v>
      </c>
      <c r="M59" s="6" t="str">
        <f t="shared" si="0"/>
        <v>Senoir</v>
      </c>
      <c r="N59" s="6">
        <f t="shared" si="1"/>
        <v>11829.666666666666</v>
      </c>
      <c r="O59" s="6" t="str">
        <f t="shared" si="2"/>
        <v>Premium</v>
      </c>
      <c r="P59" s="6">
        <f t="shared" ca="1" si="3"/>
        <v>47</v>
      </c>
      <c r="Q59" s="6" t="str">
        <f t="shared" si="4"/>
        <v>High Spender</v>
      </c>
      <c r="R59" s="6" t="str">
        <f t="shared" si="5"/>
        <v>Less active</v>
      </c>
    </row>
    <row r="60" spans="1:18" x14ac:dyDescent="0.3">
      <c r="A60" s="8" t="s">
        <v>386</v>
      </c>
      <c r="B60" s="2" t="s">
        <v>387</v>
      </c>
      <c r="C60" s="2">
        <v>33</v>
      </c>
      <c r="D60" s="2" t="s">
        <v>848</v>
      </c>
      <c r="E60" s="2" t="s">
        <v>260</v>
      </c>
      <c r="F60" s="2" t="s">
        <v>19</v>
      </c>
      <c r="G60" s="2" t="s">
        <v>968</v>
      </c>
      <c r="H60" s="2" t="s">
        <v>969</v>
      </c>
      <c r="I60" s="3">
        <v>44739</v>
      </c>
      <c r="J60" s="2" t="s">
        <v>854</v>
      </c>
      <c r="K60" s="2">
        <v>3</v>
      </c>
      <c r="L60" s="2">
        <v>2599</v>
      </c>
      <c r="M60" s="6" t="str">
        <f t="shared" si="0"/>
        <v>Adult</v>
      </c>
      <c r="N60" s="6">
        <f t="shared" si="1"/>
        <v>866.33333333333337</v>
      </c>
      <c r="O60" s="6" t="str">
        <f t="shared" si="2"/>
        <v>Regular</v>
      </c>
      <c r="P60" s="6">
        <f t="shared" ca="1" si="3"/>
        <v>47</v>
      </c>
      <c r="Q60" s="6" t="str">
        <f t="shared" si="4"/>
        <v>Medium Spender</v>
      </c>
      <c r="R60" s="6" t="str">
        <f t="shared" si="5"/>
        <v>Less active</v>
      </c>
    </row>
    <row r="61" spans="1:18" x14ac:dyDescent="0.3">
      <c r="A61" s="9" t="s">
        <v>314</v>
      </c>
      <c r="B61" s="4" t="s">
        <v>315</v>
      </c>
      <c r="C61" s="4">
        <v>22</v>
      </c>
      <c r="D61" s="4" t="s">
        <v>848</v>
      </c>
      <c r="E61" s="4" t="s">
        <v>260</v>
      </c>
      <c r="F61" s="4" t="s">
        <v>19</v>
      </c>
      <c r="G61" s="4" t="s">
        <v>970</v>
      </c>
      <c r="H61" s="4" t="s">
        <v>971</v>
      </c>
      <c r="I61" s="5">
        <v>44754</v>
      </c>
      <c r="J61" s="4" t="s">
        <v>847</v>
      </c>
      <c r="K61" s="4">
        <v>7</v>
      </c>
      <c r="L61" s="4">
        <v>56954</v>
      </c>
      <c r="M61" s="6" t="str">
        <f t="shared" si="0"/>
        <v>Young</v>
      </c>
      <c r="N61" s="6">
        <f t="shared" si="1"/>
        <v>8136.2857142857147</v>
      </c>
      <c r="O61" s="6" t="str">
        <f t="shared" si="2"/>
        <v>Premium</v>
      </c>
      <c r="P61" s="6">
        <f t="shared" ca="1" si="3"/>
        <v>47</v>
      </c>
      <c r="Q61" s="6" t="str">
        <f t="shared" si="4"/>
        <v>High Spender</v>
      </c>
      <c r="R61" s="6" t="str">
        <f t="shared" si="5"/>
        <v>Less active</v>
      </c>
    </row>
    <row r="62" spans="1:18" x14ac:dyDescent="0.3">
      <c r="A62" s="8" t="s">
        <v>542</v>
      </c>
      <c r="B62" s="2" t="s">
        <v>543</v>
      </c>
      <c r="C62" s="2">
        <v>50</v>
      </c>
      <c r="D62" s="2" t="s">
        <v>844</v>
      </c>
      <c r="E62" s="2" t="s">
        <v>41</v>
      </c>
      <c r="F62" s="2" t="s">
        <v>19</v>
      </c>
      <c r="G62" s="2" t="s">
        <v>972</v>
      </c>
      <c r="H62" s="2" t="s">
        <v>973</v>
      </c>
      <c r="I62" s="3">
        <v>44597</v>
      </c>
      <c r="J62" s="2" t="s">
        <v>861</v>
      </c>
      <c r="K62" s="2">
        <v>2</v>
      </c>
      <c r="L62" s="2">
        <v>1930</v>
      </c>
      <c r="M62" s="6" t="str">
        <f t="shared" si="0"/>
        <v>Senoir</v>
      </c>
      <c r="N62" s="6">
        <f t="shared" si="1"/>
        <v>965</v>
      </c>
      <c r="O62" s="6" t="str">
        <f t="shared" si="2"/>
        <v>Regular</v>
      </c>
      <c r="P62" s="6">
        <f t="shared" ca="1" si="3"/>
        <v>52</v>
      </c>
      <c r="Q62" s="6" t="str">
        <f t="shared" si="4"/>
        <v>Medium Spender</v>
      </c>
      <c r="R62" s="6" t="str">
        <f t="shared" si="5"/>
        <v>Less active</v>
      </c>
    </row>
    <row r="63" spans="1:18" x14ac:dyDescent="0.3">
      <c r="A63" s="9" t="s">
        <v>211</v>
      </c>
      <c r="B63" s="4" t="s">
        <v>212</v>
      </c>
      <c r="C63" s="4">
        <v>38</v>
      </c>
      <c r="D63" s="4" t="s">
        <v>848</v>
      </c>
      <c r="E63" s="4" t="s">
        <v>83</v>
      </c>
      <c r="F63" s="4" t="s">
        <v>19</v>
      </c>
      <c r="G63" s="4" t="s">
        <v>974</v>
      </c>
      <c r="H63" s="4" t="s">
        <v>975</v>
      </c>
      <c r="I63" s="5">
        <v>44662</v>
      </c>
      <c r="J63" s="4" t="s">
        <v>847</v>
      </c>
      <c r="K63" s="4">
        <v>6</v>
      </c>
      <c r="L63" s="4">
        <v>8341</v>
      </c>
      <c r="M63" s="6" t="str">
        <f t="shared" si="0"/>
        <v>Adult</v>
      </c>
      <c r="N63" s="6">
        <f t="shared" si="1"/>
        <v>1390.1666666666667</v>
      </c>
      <c r="O63" s="6" t="str">
        <f t="shared" si="2"/>
        <v>Regular</v>
      </c>
      <c r="P63" s="6">
        <f t="shared" ca="1" si="3"/>
        <v>50</v>
      </c>
      <c r="Q63" s="6" t="str">
        <f t="shared" si="4"/>
        <v>Medium Spender</v>
      </c>
      <c r="R63" s="6" t="str">
        <f t="shared" si="5"/>
        <v>Less active</v>
      </c>
    </row>
    <row r="64" spans="1:18" x14ac:dyDescent="0.3">
      <c r="A64" s="8" t="s">
        <v>340</v>
      </c>
      <c r="B64" s="2" t="s">
        <v>341</v>
      </c>
      <c r="C64" s="2">
        <v>35</v>
      </c>
      <c r="D64" s="2" t="s">
        <v>844</v>
      </c>
      <c r="E64" s="2" t="s">
        <v>253</v>
      </c>
      <c r="F64" s="2" t="s">
        <v>155</v>
      </c>
      <c r="G64" s="2" t="s">
        <v>976</v>
      </c>
      <c r="H64" s="2" t="s">
        <v>977</v>
      </c>
      <c r="I64" s="3">
        <v>44894</v>
      </c>
      <c r="J64" s="2" t="s">
        <v>847</v>
      </c>
      <c r="K64" s="2">
        <v>7</v>
      </c>
      <c r="L64" s="2">
        <v>189139.6</v>
      </c>
      <c r="M64" s="6" t="str">
        <f t="shared" si="0"/>
        <v>Adult</v>
      </c>
      <c r="N64" s="6">
        <f t="shared" si="1"/>
        <v>27019.942857142858</v>
      </c>
      <c r="O64" s="6" t="str">
        <f t="shared" si="2"/>
        <v>Premium</v>
      </c>
      <c r="P64" s="6">
        <f t="shared" ca="1" si="3"/>
        <v>42</v>
      </c>
      <c r="Q64" s="6" t="str">
        <f t="shared" si="4"/>
        <v>High Spender</v>
      </c>
      <c r="R64" s="6" t="str">
        <f t="shared" si="5"/>
        <v>Less active</v>
      </c>
    </row>
    <row r="65" spans="1:18" x14ac:dyDescent="0.3">
      <c r="A65" s="9" t="s">
        <v>135</v>
      </c>
      <c r="B65" s="4" t="s">
        <v>136</v>
      </c>
      <c r="C65" s="4">
        <v>48</v>
      </c>
      <c r="D65" s="4" t="s">
        <v>848</v>
      </c>
      <c r="E65" s="4" t="s">
        <v>137</v>
      </c>
      <c r="F65" s="4" t="s">
        <v>19</v>
      </c>
      <c r="G65" s="4" t="s">
        <v>978</v>
      </c>
      <c r="H65" s="4" t="s">
        <v>979</v>
      </c>
      <c r="I65" s="5">
        <v>44637</v>
      </c>
      <c r="J65" s="4" t="s">
        <v>854</v>
      </c>
      <c r="K65" s="4">
        <v>6</v>
      </c>
      <c r="L65" s="4">
        <v>3813.65</v>
      </c>
      <c r="M65" s="6" t="str">
        <f t="shared" si="0"/>
        <v>Senoir</v>
      </c>
      <c r="N65" s="6">
        <f t="shared" si="1"/>
        <v>635.60833333333335</v>
      </c>
      <c r="O65" s="6" t="str">
        <f t="shared" si="2"/>
        <v>Regular</v>
      </c>
      <c r="P65" s="6">
        <f t="shared" ca="1" si="3"/>
        <v>50</v>
      </c>
      <c r="Q65" s="6" t="str">
        <f t="shared" si="4"/>
        <v>Medium Spender</v>
      </c>
      <c r="R65" s="6" t="str">
        <f t="shared" si="5"/>
        <v>Less active</v>
      </c>
    </row>
    <row r="66" spans="1:18" x14ac:dyDescent="0.3">
      <c r="A66" s="8" t="s">
        <v>45</v>
      </c>
      <c r="B66" s="2" t="s">
        <v>46</v>
      </c>
      <c r="C66" s="2">
        <v>37</v>
      </c>
      <c r="D66" s="2" t="s">
        <v>848</v>
      </c>
      <c r="E66" s="2" t="s">
        <v>27</v>
      </c>
      <c r="F66" s="2" t="s">
        <v>19</v>
      </c>
      <c r="G66" s="2" t="s">
        <v>980</v>
      </c>
      <c r="H66" s="2" t="s">
        <v>981</v>
      </c>
      <c r="I66" s="3">
        <v>44645</v>
      </c>
      <c r="J66" s="2" t="s">
        <v>861</v>
      </c>
      <c r="K66" s="2">
        <v>4</v>
      </c>
      <c r="L66" s="2">
        <v>14088</v>
      </c>
      <c r="M66" s="6" t="str">
        <f t="shared" si="0"/>
        <v>Adult</v>
      </c>
      <c r="N66" s="6">
        <f t="shared" si="1"/>
        <v>3522</v>
      </c>
      <c r="O66" s="6" t="str">
        <f t="shared" si="2"/>
        <v>Premium</v>
      </c>
      <c r="P66" s="6">
        <f t="shared" ca="1" si="3"/>
        <v>50</v>
      </c>
      <c r="Q66" s="6" t="str">
        <f t="shared" si="4"/>
        <v>Medium Spender</v>
      </c>
      <c r="R66" s="6" t="str">
        <f t="shared" si="5"/>
        <v>Less active</v>
      </c>
    </row>
    <row r="67" spans="1:18" x14ac:dyDescent="0.3">
      <c r="A67" s="9" t="s">
        <v>363</v>
      </c>
      <c r="B67" s="4" t="s">
        <v>364</v>
      </c>
      <c r="C67" s="4">
        <v>28</v>
      </c>
      <c r="D67" s="4" t="s">
        <v>848</v>
      </c>
      <c r="E67" s="4" t="s">
        <v>265</v>
      </c>
      <c r="F67" s="4" t="s">
        <v>266</v>
      </c>
      <c r="G67" s="4" t="s">
        <v>982</v>
      </c>
      <c r="H67" s="4" t="s">
        <v>983</v>
      </c>
      <c r="I67" s="5">
        <v>44666</v>
      </c>
      <c r="J67" s="4" t="s">
        <v>847</v>
      </c>
      <c r="K67" s="4">
        <v>5</v>
      </c>
      <c r="L67" s="4">
        <v>45418</v>
      </c>
      <c r="M67" s="6" t="str">
        <f t="shared" ref="M67:M101" si="6">IF(C67&lt;25,"Young",IF(C67&lt;40,"Adult","Senoir"))</f>
        <v>Adult</v>
      </c>
      <c r="N67" s="6">
        <f t="shared" ref="N67:N101" si="7">L67/K67</f>
        <v>9083.6</v>
      </c>
      <c r="O67" s="6" t="str">
        <f t="shared" ref="O67:O101" si="8">IF(L67&gt;10000,"Premium","Regular")</f>
        <v>Premium</v>
      </c>
      <c r="P67" s="6">
        <f t="shared" ref="P67:P101" ca="1" si="9">DATEDIF(I67,TODAY(), "M")</f>
        <v>49</v>
      </c>
      <c r="Q67" s="6" t="str">
        <f t="shared" ref="Q67:Q101" si="10">IF(L67&gt;15000,"High Spender","Medium Spender")</f>
        <v>High Spender</v>
      </c>
      <c r="R67" s="6" t="str">
        <f t="shared" ref="R67:R101" si="11">IF(K67&gt;=10,"Active","Less active")</f>
        <v>Less active</v>
      </c>
    </row>
    <row r="68" spans="1:18" x14ac:dyDescent="0.3">
      <c r="A68" s="8" t="s">
        <v>184</v>
      </c>
      <c r="B68" s="2" t="s">
        <v>185</v>
      </c>
      <c r="C68" s="2">
        <v>23</v>
      </c>
      <c r="D68" s="2" t="s">
        <v>848</v>
      </c>
      <c r="E68" s="2" t="s">
        <v>52</v>
      </c>
      <c r="F68" s="2" t="s">
        <v>53</v>
      </c>
      <c r="G68" s="2" t="s">
        <v>984</v>
      </c>
      <c r="H68" s="2" t="s">
        <v>985</v>
      </c>
      <c r="I68" s="3">
        <v>44777</v>
      </c>
      <c r="J68" s="2" t="s">
        <v>854</v>
      </c>
      <c r="K68" s="2">
        <v>3</v>
      </c>
      <c r="L68" s="2">
        <v>8710.5</v>
      </c>
      <c r="M68" s="6" t="str">
        <f t="shared" si="6"/>
        <v>Young</v>
      </c>
      <c r="N68" s="6">
        <f t="shared" si="7"/>
        <v>2903.5</v>
      </c>
      <c r="O68" s="6" t="str">
        <f t="shared" si="8"/>
        <v>Regular</v>
      </c>
      <c r="P68" s="6">
        <f t="shared" ca="1" si="9"/>
        <v>46</v>
      </c>
      <c r="Q68" s="6" t="str">
        <f t="shared" si="10"/>
        <v>Medium Spender</v>
      </c>
      <c r="R68" s="6" t="str">
        <f t="shared" si="11"/>
        <v>Less active</v>
      </c>
    </row>
    <row r="69" spans="1:18" x14ac:dyDescent="0.3">
      <c r="A69" s="9" t="s">
        <v>88</v>
      </c>
      <c r="B69" s="4" t="s">
        <v>89</v>
      </c>
      <c r="C69" s="4">
        <v>42</v>
      </c>
      <c r="D69" s="4" t="s">
        <v>848</v>
      </c>
      <c r="E69" s="4" t="s">
        <v>90</v>
      </c>
      <c r="F69" s="4" t="s">
        <v>19</v>
      </c>
      <c r="G69" s="4" t="s">
        <v>986</v>
      </c>
      <c r="H69" s="4" t="s">
        <v>987</v>
      </c>
      <c r="I69" s="5">
        <v>44595</v>
      </c>
      <c r="J69" s="4" t="s">
        <v>861</v>
      </c>
      <c r="K69" s="4">
        <v>3</v>
      </c>
      <c r="L69" s="4">
        <v>13547.5</v>
      </c>
      <c r="M69" s="6" t="str">
        <f t="shared" si="6"/>
        <v>Senoir</v>
      </c>
      <c r="N69" s="6">
        <f t="shared" si="7"/>
        <v>4515.833333333333</v>
      </c>
      <c r="O69" s="6" t="str">
        <f t="shared" si="8"/>
        <v>Premium</v>
      </c>
      <c r="P69" s="6">
        <f t="shared" ca="1" si="9"/>
        <v>52</v>
      </c>
      <c r="Q69" s="6" t="str">
        <f t="shared" si="10"/>
        <v>Medium Spender</v>
      </c>
      <c r="R69" s="6" t="str">
        <f t="shared" si="11"/>
        <v>Less active</v>
      </c>
    </row>
    <row r="70" spans="1:18" x14ac:dyDescent="0.3">
      <c r="A70" s="8" t="s">
        <v>459</v>
      </c>
      <c r="B70" s="2" t="s">
        <v>460</v>
      </c>
      <c r="C70" s="2">
        <v>38</v>
      </c>
      <c r="D70" s="2" t="s">
        <v>844</v>
      </c>
      <c r="E70" s="2" t="s">
        <v>265</v>
      </c>
      <c r="F70" s="2" t="s">
        <v>266</v>
      </c>
      <c r="G70" s="2" t="s">
        <v>988</v>
      </c>
      <c r="H70" s="2" t="s">
        <v>989</v>
      </c>
      <c r="I70" s="3">
        <v>44905</v>
      </c>
      <c r="J70" s="2" t="s">
        <v>861</v>
      </c>
      <c r="K70" s="2">
        <v>1</v>
      </c>
      <c r="L70" s="2">
        <v>880</v>
      </c>
      <c r="M70" s="6" t="str">
        <f t="shared" si="6"/>
        <v>Adult</v>
      </c>
      <c r="N70" s="6">
        <f t="shared" si="7"/>
        <v>880</v>
      </c>
      <c r="O70" s="6" t="str">
        <f t="shared" si="8"/>
        <v>Regular</v>
      </c>
      <c r="P70" s="6">
        <f t="shared" ca="1" si="9"/>
        <v>42</v>
      </c>
      <c r="Q70" s="6" t="str">
        <f t="shared" si="10"/>
        <v>Medium Spender</v>
      </c>
      <c r="R70" s="6" t="str">
        <f t="shared" si="11"/>
        <v>Less active</v>
      </c>
    </row>
    <row r="71" spans="1:18" x14ac:dyDescent="0.3">
      <c r="A71" s="9" t="s">
        <v>513</v>
      </c>
      <c r="B71" s="4" t="s">
        <v>514</v>
      </c>
      <c r="C71" s="4">
        <v>29</v>
      </c>
      <c r="D71" s="4" t="s">
        <v>848</v>
      </c>
      <c r="E71" s="4" t="s">
        <v>299</v>
      </c>
      <c r="F71" s="4" t="s">
        <v>19</v>
      </c>
      <c r="G71" s="4" t="s">
        <v>990</v>
      </c>
      <c r="H71" s="4" t="s">
        <v>991</v>
      </c>
      <c r="I71" s="5">
        <v>44828</v>
      </c>
      <c r="J71" s="4" t="s">
        <v>861</v>
      </c>
      <c r="K71" s="4">
        <v>2</v>
      </c>
      <c r="L71" s="4">
        <v>88627</v>
      </c>
      <c r="M71" s="6" t="str">
        <f t="shared" si="6"/>
        <v>Adult</v>
      </c>
      <c r="N71" s="6">
        <f t="shared" si="7"/>
        <v>44313.5</v>
      </c>
      <c r="O71" s="6" t="str">
        <f t="shared" si="8"/>
        <v>Premium</v>
      </c>
      <c r="P71" s="6">
        <f t="shared" ca="1" si="9"/>
        <v>44</v>
      </c>
      <c r="Q71" s="6" t="str">
        <f t="shared" si="10"/>
        <v>High Spender</v>
      </c>
      <c r="R71" s="6" t="str">
        <f t="shared" si="11"/>
        <v>Less active</v>
      </c>
    </row>
    <row r="72" spans="1:18" x14ac:dyDescent="0.3">
      <c r="A72" s="8" t="s">
        <v>441</v>
      </c>
      <c r="B72" s="2" t="s">
        <v>442</v>
      </c>
      <c r="C72" s="2">
        <v>23</v>
      </c>
      <c r="D72" s="2" t="s">
        <v>844</v>
      </c>
      <c r="E72" s="2" t="s">
        <v>41</v>
      </c>
      <c r="F72" s="2" t="s">
        <v>19</v>
      </c>
      <c r="G72" s="2" t="s">
        <v>992</v>
      </c>
      <c r="H72" s="2" t="s">
        <v>993</v>
      </c>
      <c r="I72" s="3">
        <v>44682</v>
      </c>
      <c r="J72" s="2" t="s">
        <v>847</v>
      </c>
      <c r="K72" s="2">
        <v>6</v>
      </c>
      <c r="L72" s="2">
        <v>6704.5</v>
      </c>
      <c r="M72" s="6" t="str">
        <f t="shared" si="6"/>
        <v>Young</v>
      </c>
      <c r="N72" s="6">
        <f t="shared" si="7"/>
        <v>1117.4166666666667</v>
      </c>
      <c r="O72" s="6" t="str">
        <f t="shared" si="8"/>
        <v>Regular</v>
      </c>
      <c r="P72" s="6">
        <f t="shared" ca="1" si="9"/>
        <v>49</v>
      </c>
      <c r="Q72" s="6" t="str">
        <f t="shared" si="10"/>
        <v>Medium Spender</v>
      </c>
      <c r="R72" s="6" t="str">
        <f t="shared" si="11"/>
        <v>Less active</v>
      </c>
    </row>
    <row r="73" spans="1:18" x14ac:dyDescent="0.3">
      <c r="A73" s="9" t="s">
        <v>403</v>
      </c>
      <c r="B73" s="4" t="s">
        <v>404</v>
      </c>
      <c r="C73" s="4">
        <v>26</v>
      </c>
      <c r="D73" s="4" t="s">
        <v>848</v>
      </c>
      <c r="E73" s="4" t="s">
        <v>270</v>
      </c>
      <c r="F73" s="4" t="s">
        <v>19</v>
      </c>
      <c r="G73" s="4" t="s">
        <v>994</v>
      </c>
      <c r="H73" s="4" t="s">
        <v>995</v>
      </c>
      <c r="I73" s="5">
        <v>44799</v>
      </c>
      <c r="J73" s="4" t="s">
        <v>861</v>
      </c>
      <c r="K73" s="4">
        <v>4</v>
      </c>
      <c r="L73" s="4">
        <v>9827.4500000000007</v>
      </c>
      <c r="M73" s="6" t="str">
        <f t="shared" si="6"/>
        <v>Adult</v>
      </c>
      <c r="N73" s="6">
        <f t="shared" si="7"/>
        <v>2456.8625000000002</v>
      </c>
      <c r="O73" s="6" t="str">
        <f t="shared" si="8"/>
        <v>Regular</v>
      </c>
      <c r="P73" s="6">
        <f t="shared" ca="1" si="9"/>
        <v>45</v>
      </c>
      <c r="Q73" s="6" t="str">
        <f t="shared" si="10"/>
        <v>Medium Spender</v>
      </c>
      <c r="R73" s="6" t="str">
        <f t="shared" si="11"/>
        <v>Less active</v>
      </c>
    </row>
    <row r="74" spans="1:18" x14ac:dyDescent="0.3">
      <c r="A74" s="8" t="s">
        <v>294</v>
      </c>
      <c r="B74" s="2" t="s">
        <v>295</v>
      </c>
      <c r="C74" s="2">
        <v>25</v>
      </c>
      <c r="D74" s="2" t="s">
        <v>848</v>
      </c>
      <c r="E74" s="2" t="s">
        <v>52</v>
      </c>
      <c r="F74" s="2" t="s">
        <v>53</v>
      </c>
      <c r="G74" s="2" t="s">
        <v>996</v>
      </c>
      <c r="H74" s="2" t="s">
        <v>997</v>
      </c>
      <c r="I74" s="3">
        <v>44706</v>
      </c>
      <c r="J74" s="2" t="s">
        <v>861</v>
      </c>
      <c r="K74" s="2">
        <v>3</v>
      </c>
      <c r="L74" s="2">
        <v>173029.2</v>
      </c>
      <c r="M74" s="6" t="str">
        <f t="shared" si="6"/>
        <v>Adult</v>
      </c>
      <c r="N74" s="6">
        <f t="shared" si="7"/>
        <v>57676.4</v>
      </c>
      <c r="O74" s="6" t="str">
        <f t="shared" si="8"/>
        <v>Premium</v>
      </c>
      <c r="P74" s="6">
        <f t="shared" ca="1" si="9"/>
        <v>48</v>
      </c>
      <c r="Q74" s="6" t="str">
        <f t="shared" si="10"/>
        <v>High Spender</v>
      </c>
      <c r="R74" s="6" t="str">
        <f t="shared" si="11"/>
        <v>Less active</v>
      </c>
    </row>
    <row r="75" spans="1:18" x14ac:dyDescent="0.3">
      <c r="A75" s="9" t="s">
        <v>199</v>
      </c>
      <c r="B75" s="4" t="s">
        <v>200</v>
      </c>
      <c r="C75" s="4">
        <v>38</v>
      </c>
      <c r="D75" s="4" t="s">
        <v>848</v>
      </c>
      <c r="E75" s="4" t="s">
        <v>90</v>
      </c>
      <c r="F75" s="4" t="s">
        <v>19</v>
      </c>
      <c r="G75" s="4" t="s">
        <v>998</v>
      </c>
      <c r="H75" s="4" t="s">
        <v>999</v>
      </c>
      <c r="I75" s="5">
        <v>44856</v>
      </c>
      <c r="J75" s="4" t="s">
        <v>851</v>
      </c>
      <c r="K75" s="4">
        <v>6</v>
      </c>
      <c r="L75" s="4">
        <v>6250.5</v>
      </c>
      <c r="M75" s="6" t="str">
        <f t="shared" si="6"/>
        <v>Adult</v>
      </c>
      <c r="N75" s="6">
        <f t="shared" si="7"/>
        <v>1041.75</v>
      </c>
      <c r="O75" s="6" t="str">
        <f t="shared" si="8"/>
        <v>Regular</v>
      </c>
      <c r="P75" s="6">
        <f t="shared" ca="1" si="9"/>
        <v>43</v>
      </c>
      <c r="Q75" s="6" t="str">
        <f t="shared" si="10"/>
        <v>Medium Spender</v>
      </c>
      <c r="R75" s="6" t="str">
        <f t="shared" si="11"/>
        <v>Less active</v>
      </c>
    </row>
    <row r="76" spans="1:18" x14ac:dyDescent="0.3">
      <c r="A76" s="8" t="s">
        <v>330</v>
      </c>
      <c r="B76" s="2" t="s">
        <v>331</v>
      </c>
      <c r="C76" s="2">
        <v>38</v>
      </c>
      <c r="D76" s="2" t="s">
        <v>844</v>
      </c>
      <c r="E76" s="2" t="s">
        <v>176</v>
      </c>
      <c r="F76" s="2" t="s">
        <v>177</v>
      </c>
      <c r="G76" s="2" t="s">
        <v>1000</v>
      </c>
      <c r="H76" s="2" t="s">
        <v>1001</v>
      </c>
      <c r="I76" s="3">
        <v>44737</v>
      </c>
      <c r="J76" s="2" t="s">
        <v>851</v>
      </c>
      <c r="K76" s="2">
        <v>6</v>
      </c>
      <c r="L76" s="2">
        <v>217699</v>
      </c>
      <c r="M76" s="6" t="str">
        <f t="shared" si="6"/>
        <v>Adult</v>
      </c>
      <c r="N76" s="6">
        <f t="shared" si="7"/>
        <v>36283.166666666664</v>
      </c>
      <c r="O76" s="6" t="str">
        <f t="shared" si="8"/>
        <v>Premium</v>
      </c>
      <c r="P76" s="6">
        <f t="shared" ca="1" si="9"/>
        <v>47</v>
      </c>
      <c r="Q76" s="6" t="str">
        <f t="shared" si="10"/>
        <v>High Spender</v>
      </c>
      <c r="R76" s="6" t="str">
        <f t="shared" si="11"/>
        <v>Less active</v>
      </c>
    </row>
    <row r="77" spans="1:18" x14ac:dyDescent="0.3">
      <c r="A77" s="9" t="s">
        <v>145</v>
      </c>
      <c r="B77" s="4" t="s">
        <v>146</v>
      </c>
      <c r="C77" s="4">
        <v>24</v>
      </c>
      <c r="D77" s="4" t="s">
        <v>848</v>
      </c>
      <c r="E77" s="4" t="s">
        <v>147</v>
      </c>
      <c r="F77" s="4" t="s">
        <v>19</v>
      </c>
      <c r="G77" s="4" t="s">
        <v>1002</v>
      </c>
      <c r="H77" s="4" t="s">
        <v>1003</v>
      </c>
      <c r="I77" s="5">
        <v>44835</v>
      </c>
      <c r="J77" s="4" t="s">
        <v>851</v>
      </c>
      <c r="K77" s="4">
        <v>4</v>
      </c>
      <c r="L77" s="4">
        <v>8894</v>
      </c>
      <c r="M77" s="6" t="str">
        <f t="shared" si="6"/>
        <v>Young</v>
      </c>
      <c r="N77" s="6">
        <f t="shared" si="7"/>
        <v>2223.5</v>
      </c>
      <c r="O77" s="6" t="str">
        <f t="shared" si="8"/>
        <v>Regular</v>
      </c>
      <c r="P77" s="6">
        <f t="shared" ca="1" si="9"/>
        <v>44</v>
      </c>
      <c r="Q77" s="6" t="str">
        <f t="shared" si="10"/>
        <v>Medium Spender</v>
      </c>
      <c r="R77" s="6" t="str">
        <f t="shared" si="11"/>
        <v>Less active</v>
      </c>
    </row>
    <row r="78" spans="1:18" x14ac:dyDescent="0.3">
      <c r="A78" s="8" t="s">
        <v>258</v>
      </c>
      <c r="B78" s="2" t="s">
        <v>259</v>
      </c>
      <c r="C78" s="2">
        <v>57</v>
      </c>
      <c r="D78" s="2" t="s">
        <v>844</v>
      </c>
      <c r="E78" s="2" t="s">
        <v>260</v>
      </c>
      <c r="F78" s="2" t="s">
        <v>19</v>
      </c>
      <c r="G78" s="2" t="s">
        <v>1004</v>
      </c>
      <c r="H78" s="2" t="s">
        <v>1005</v>
      </c>
      <c r="I78" s="3">
        <v>44904</v>
      </c>
      <c r="J78" s="2" t="s">
        <v>851</v>
      </c>
      <c r="K78" s="2">
        <v>6</v>
      </c>
      <c r="L78" s="2">
        <v>34055.5</v>
      </c>
      <c r="M78" s="6" t="str">
        <f t="shared" si="6"/>
        <v>Senoir</v>
      </c>
      <c r="N78" s="6">
        <f t="shared" si="7"/>
        <v>5675.916666666667</v>
      </c>
      <c r="O78" s="6" t="str">
        <f t="shared" si="8"/>
        <v>Premium</v>
      </c>
      <c r="P78" s="6">
        <f t="shared" ca="1" si="9"/>
        <v>42</v>
      </c>
      <c r="Q78" s="6" t="str">
        <f t="shared" si="10"/>
        <v>High Spender</v>
      </c>
      <c r="R78" s="6" t="str">
        <f t="shared" si="11"/>
        <v>Less active</v>
      </c>
    </row>
    <row r="79" spans="1:18" x14ac:dyDescent="0.3">
      <c r="A79" s="9" t="s">
        <v>196</v>
      </c>
      <c r="B79" s="4" t="s">
        <v>197</v>
      </c>
      <c r="C79" s="4">
        <v>49</v>
      </c>
      <c r="D79" s="4" t="s">
        <v>844</v>
      </c>
      <c r="E79" s="4" t="s">
        <v>176</v>
      </c>
      <c r="F79" s="4" t="s">
        <v>177</v>
      </c>
      <c r="G79" s="4" t="s">
        <v>1006</v>
      </c>
      <c r="H79" s="4" t="s">
        <v>1007</v>
      </c>
      <c r="I79" s="5">
        <v>44587</v>
      </c>
      <c r="J79" s="4" t="s">
        <v>861</v>
      </c>
      <c r="K79" s="4">
        <v>7</v>
      </c>
      <c r="L79" s="4">
        <v>7671.8</v>
      </c>
      <c r="M79" s="6" t="str">
        <f t="shared" si="6"/>
        <v>Senoir</v>
      </c>
      <c r="N79" s="6">
        <f t="shared" si="7"/>
        <v>1095.9714285714285</v>
      </c>
      <c r="O79" s="6" t="str">
        <f t="shared" si="8"/>
        <v>Regular</v>
      </c>
      <c r="P79" s="6">
        <f t="shared" ca="1" si="9"/>
        <v>52</v>
      </c>
      <c r="Q79" s="6" t="str">
        <f t="shared" si="10"/>
        <v>Medium Spender</v>
      </c>
      <c r="R79" s="6" t="str">
        <f t="shared" si="11"/>
        <v>Less active</v>
      </c>
    </row>
    <row r="80" spans="1:18" x14ac:dyDescent="0.3">
      <c r="A80" s="8" t="s">
        <v>325</v>
      </c>
      <c r="B80" s="2" t="s">
        <v>326</v>
      </c>
      <c r="C80" s="2">
        <v>43</v>
      </c>
      <c r="D80" s="2" t="s">
        <v>848</v>
      </c>
      <c r="E80" s="2" t="s">
        <v>270</v>
      </c>
      <c r="F80" s="2" t="s">
        <v>19</v>
      </c>
      <c r="G80" s="2" t="s">
        <v>1008</v>
      </c>
      <c r="H80" s="2" t="s">
        <v>1009</v>
      </c>
      <c r="I80" s="3">
        <v>44615</v>
      </c>
      <c r="J80" s="2" t="s">
        <v>851</v>
      </c>
      <c r="K80" s="2">
        <v>8</v>
      </c>
      <c r="L80" s="2">
        <v>109754</v>
      </c>
      <c r="M80" s="6" t="str">
        <f t="shared" si="6"/>
        <v>Senoir</v>
      </c>
      <c r="N80" s="6">
        <f t="shared" si="7"/>
        <v>13719.25</v>
      </c>
      <c r="O80" s="6" t="str">
        <f t="shared" si="8"/>
        <v>Premium</v>
      </c>
      <c r="P80" s="6">
        <f t="shared" ca="1" si="9"/>
        <v>51</v>
      </c>
      <c r="Q80" s="6" t="str">
        <f t="shared" si="10"/>
        <v>High Spender</v>
      </c>
      <c r="R80" s="6" t="str">
        <f t="shared" si="11"/>
        <v>Less active</v>
      </c>
    </row>
    <row r="81" spans="1:18" x14ac:dyDescent="0.3">
      <c r="A81" s="9" t="s">
        <v>711</v>
      </c>
      <c r="B81" s="4" t="s">
        <v>712</v>
      </c>
      <c r="C81" s="4">
        <v>30</v>
      </c>
      <c r="D81" s="4" t="s">
        <v>848</v>
      </c>
      <c r="E81" s="4" t="s">
        <v>52</v>
      </c>
      <c r="F81" s="4" t="s">
        <v>53</v>
      </c>
      <c r="G81" s="4" t="s">
        <v>1010</v>
      </c>
      <c r="H81" s="4" t="s">
        <v>1011</v>
      </c>
      <c r="I81" s="5">
        <v>44595</v>
      </c>
      <c r="J81" s="4" t="s">
        <v>854</v>
      </c>
      <c r="K81" s="4">
        <v>1</v>
      </c>
      <c r="L81" s="4">
        <v>912</v>
      </c>
      <c r="M81" s="6" t="str">
        <f t="shared" si="6"/>
        <v>Adult</v>
      </c>
      <c r="N81" s="6">
        <f t="shared" si="7"/>
        <v>912</v>
      </c>
      <c r="O81" s="6" t="str">
        <f t="shared" si="8"/>
        <v>Regular</v>
      </c>
      <c r="P81" s="6">
        <f t="shared" ca="1" si="9"/>
        <v>52</v>
      </c>
      <c r="Q81" s="6" t="str">
        <f t="shared" si="10"/>
        <v>Medium Spender</v>
      </c>
      <c r="R81" s="6" t="str">
        <f t="shared" si="11"/>
        <v>Less active</v>
      </c>
    </row>
    <row r="82" spans="1:18" x14ac:dyDescent="0.3">
      <c r="A82" s="8" t="s">
        <v>204</v>
      </c>
      <c r="B82" s="2" t="s">
        <v>205</v>
      </c>
      <c r="C82" s="2">
        <v>49</v>
      </c>
      <c r="D82" s="2" t="s">
        <v>844</v>
      </c>
      <c r="E82" s="2" t="s">
        <v>35</v>
      </c>
      <c r="F82" s="2" t="s">
        <v>19</v>
      </c>
      <c r="G82" s="2" t="s">
        <v>1012</v>
      </c>
      <c r="H82" s="2" t="s">
        <v>1013</v>
      </c>
      <c r="I82" s="3">
        <v>44926</v>
      </c>
      <c r="J82" s="2" t="s">
        <v>861</v>
      </c>
      <c r="K82" s="2">
        <v>9</v>
      </c>
      <c r="L82" s="2">
        <v>63577</v>
      </c>
      <c r="M82" s="6" t="str">
        <f t="shared" si="6"/>
        <v>Senoir</v>
      </c>
      <c r="N82" s="6">
        <f t="shared" si="7"/>
        <v>7064.1111111111113</v>
      </c>
      <c r="O82" s="6" t="str">
        <f t="shared" si="8"/>
        <v>Premium</v>
      </c>
      <c r="P82" s="6">
        <f t="shared" ca="1" si="9"/>
        <v>41</v>
      </c>
      <c r="Q82" s="6" t="str">
        <f t="shared" si="10"/>
        <v>High Spender</v>
      </c>
      <c r="R82" s="6" t="str">
        <f t="shared" si="11"/>
        <v>Less active</v>
      </c>
    </row>
    <row r="83" spans="1:18" x14ac:dyDescent="0.3">
      <c r="A83" s="9" t="s">
        <v>191</v>
      </c>
      <c r="B83" s="4" t="s">
        <v>192</v>
      </c>
      <c r="C83" s="4">
        <v>24</v>
      </c>
      <c r="D83" s="4" t="s">
        <v>844</v>
      </c>
      <c r="E83" s="4" t="s">
        <v>106</v>
      </c>
      <c r="F83" s="4" t="s">
        <v>19</v>
      </c>
      <c r="G83" s="4" t="s">
        <v>1014</v>
      </c>
      <c r="H83" s="4" t="s">
        <v>1015</v>
      </c>
      <c r="I83" s="5">
        <v>44764</v>
      </c>
      <c r="J83" s="4" t="s">
        <v>847</v>
      </c>
      <c r="K83" s="4">
        <v>8</v>
      </c>
      <c r="L83" s="4">
        <v>27640</v>
      </c>
      <c r="M83" s="6" t="str">
        <f t="shared" si="6"/>
        <v>Young</v>
      </c>
      <c r="N83" s="6">
        <f t="shared" si="7"/>
        <v>3455</v>
      </c>
      <c r="O83" s="6" t="str">
        <f t="shared" si="8"/>
        <v>Premium</v>
      </c>
      <c r="P83" s="6">
        <f t="shared" ca="1" si="9"/>
        <v>46</v>
      </c>
      <c r="Q83" s="6" t="str">
        <f t="shared" si="10"/>
        <v>High Spender</v>
      </c>
      <c r="R83" s="6" t="str">
        <f t="shared" si="11"/>
        <v>Less active</v>
      </c>
    </row>
    <row r="84" spans="1:18" x14ac:dyDescent="0.3">
      <c r="A84" s="8" t="s">
        <v>247</v>
      </c>
      <c r="B84" s="2" t="s">
        <v>248</v>
      </c>
      <c r="C84" s="2">
        <v>27</v>
      </c>
      <c r="D84" s="2" t="s">
        <v>848</v>
      </c>
      <c r="E84" s="2" t="s">
        <v>35</v>
      </c>
      <c r="F84" s="2" t="s">
        <v>19</v>
      </c>
      <c r="G84" s="2" t="s">
        <v>1016</v>
      </c>
      <c r="H84" s="2" t="s">
        <v>1017</v>
      </c>
      <c r="I84" s="3">
        <v>44773</v>
      </c>
      <c r="J84" s="2" t="s">
        <v>847</v>
      </c>
      <c r="K84" s="2">
        <v>3</v>
      </c>
      <c r="L84" s="2">
        <v>5386</v>
      </c>
      <c r="M84" s="6" t="str">
        <f t="shared" si="6"/>
        <v>Adult</v>
      </c>
      <c r="N84" s="6">
        <f t="shared" si="7"/>
        <v>1795.3333333333333</v>
      </c>
      <c r="O84" s="6" t="str">
        <f t="shared" si="8"/>
        <v>Regular</v>
      </c>
      <c r="P84" s="6">
        <f t="shared" ca="1" si="9"/>
        <v>46</v>
      </c>
      <c r="Q84" s="6" t="str">
        <f t="shared" si="10"/>
        <v>Medium Spender</v>
      </c>
      <c r="R84" s="6" t="str">
        <f t="shared" si="11"/>
        <v>Less active</v>
      </c>
    </row>
    <row r="85" spans="1:18" x14ac:dyDescent="0.3">
      <c r="A85" s="9" t="s">
        <v>109</v>
      </c>
      <c r="B85" s="4" t="s">
        <v>110</v>
      </c>
      <c r="C85" s="4">
        <v>51</v>
      </c>
      <c r="D85" s="4" t="s">
        <v>844</v>
      </c>
      <c r="E85" s="4" t="s">
        <v>52</v>
      </c>
      <c r="F85" s="4" t="s">
        <v>53</v>
      </c>
      <c r="G85" s="4" t="s">
        <v>1018</v>
      </c>
      <c r="H85" s="4" t="s">
        <v>1019</v>
      </c>
      <c r="I85" s="5">
        <v>44772</v>
      </c>
      <c r="J85" s="4" t="s">
        <v>861</v>
      </c>
      <c r="K85" s="4">
        <v>7</v>
      </c>
      <c r="L85" s="4">
        <v>7397</v>
      </c>
      <c r="M85" s="6" t="str">
        <f t="shared" si="6"/>
        <v>Senoir</v>
      </c>
      <c r="N85" s="6">
        <f t="shared" si="7"/>
        <v>1056.7142857142858</v>
      </c>
      <c r="O85" s="6" t="str">
        <f t="shared" si="8"/>
        <v>Regular</v>
      </c>
      <c r="P85" s="6">
        <f t="shared" ca="1" si="9"/>
        <v>46</v>
      </c>
      <c r="Q85" s="6" t="str">
        <f t="shared" si="10"/>
        <v>Medium Spender</v>
      </c>
      <c r="R85" s="6" t="str">
        <f t="shared" si="11"/>
        <v>Less active</v>
      </c>
    </row>
    <row r="86" spans="1:18" x14ac:dyDescent="0.3">
      <c r="A86" s="8" t="s">
        <v>279</v>
      </c>
      <c r="B86" s="2" t="s">
        <v>280</v>
      </c>
      <c r="C86" s="2">
        <v>55</v>
      </c>
      <c r="D86" s="2" t="s">
        <v>848</v>
      </c>
      <c r="E86" s="2" t="s">
        <v>35</v>
      </c>
      <c r="F86" s="2" t="s">
        <v>19</v>
      </c>
      <c r="G86" s="2" t="s">
        <v>1020</v>
      </c>
      <c r="H86" s="2" t="s">
        <v>1021</v>
      </c>
      <c r="I86" s="3">
        <v>44624</v>
      </c>
      <c r="J86" s="2" t="s">
        <v>851</v>
      </c>
      <c r="K86" s="2">
        <v>5</v>
      </c>
      <c r="L86" s="2">
        <v>11846</v>
      </c>
      <c r="M86" s="6" t="str">
        <f t="shared" si="6"/>
        <v>Senoir</v>
      </c>
      <c r="N86" s="6">
        <f t="shared" si="7"/>
        <v>2369.1999999999998</v>
      </c>
      <c r="O86" s="6" t="str">
        <f t="shared" si="8"/>
        <v>Premium</v>
      </c>
      <c r="P86" s="6">
        <f t="shared" ca="1" si="9"/>
        <v>51</v>
      </c>
      <c r="Q86" s="6" t="str">
        <f t="shared" si="10"/>
        <v>Medium Spender</v>
      </c>
      <c r="R86" s="6" t="str">
        <f t="shared" si="11"/>
        <v>Less active</v>
      </c>
    </row>
    <row r="87" spans="1:18" x14ac:dyDescent="0.3">
      <c r="A87" s="9" t="s">
        <v>578</v>
      </c>
      <c r="B87" s="4" t="s">
        <v>579</v>
      </c>
      <c r="C87" s="4">
        <v>28</v>
      </c>
      <c r="D87" s="4" t="s">
        <v>844</v>
      </c>
      <c r="E87" s="4" t="s">
        <v>41</v>
      </c>
      <c r="F87" s="4" t="s">
        <v>19</v>
      </c>
      <c r="G87" s="4" t="s">
        <v>1022</v>
      </c>
      <c r="H87" s="4" t="s">
        <v>1023</v>
      </c>
      <c r="I87" s="5">
        <v>44797</v>
      </c>
      <c r="J87" s="4" t="s">
        <v>851</v>
      </c>
      <c r="K87" s="4">
        <v>3</v>
      </c>
      <c r="L87" s="4">
        <v>11129.5</v>
      </c>
      <c r="M87" s="6" t="str">
        <f t="shared" si="6"/>
        <v>Adult</v>
      </c>
      <c r="N87" s="6">
        <f t="shared" si="7"/>
        <v>3709.8333333333335</v>
      </c>
      <c r="O87" s="6" t="str">
        <f t="shared" si="8"/>
        <v>Premium</v>
      </c>
      <c r="P87" s="6">
        <f t="shared" ca="1" si="9"/>
        <v>45</v>
      </c>
      <c r="Q87" s="6" t="str">
        <f t="shared" si="10"/>
        <v>Medium Spender</v>
      </c>
      <c r="R87" s="6" t="str">
        <f t="shared" si="11"/>
        <v>Less active</v>
      </c>
    </row>
    <row r="88" spans="1:18" x14ac:dyDescent="0.3">
      <c r="A88" s="8" t="s">
        <v>165</v>
      </c>
      <c r="B88" s="2" t="s">
        <v>166</v>
      </c>
      <c r="C88" s="2">
        <v>43</v>
      </c>
      <c r="D88" s="2" t="s">
        <v>848</v>
      </c>
      <c r="E88" s="2" t="s">
        <v>27</v>
      </c>
      <c r="F88" s="2" t="s">
        <v>19</v>
      </c>
      <c r="G88" s="2" t="s">
        <v>1024</v>
      </c>
      <c r="H88" s="2" t="s">
        <v>1025</v>
      </c>
      <c r="I88" s="3">
        <v>44655</v>
      </c>
      <c r="J88" s="2" t="s">
        <v>847</v>
      </c>
      <c r="K88" s="2">
        <v>3</v>
      </c>
      <c r="L88" s="2">
        <v>3545.5</v>
      </c>
      <c r="M88" s="6" t="str">
        <f t="shared" si="6"/>
        <v>Senoir</v>
      </c>
      <c r="N88" s="6">
        <f t="shared" si="7"/>
        <v>1181.8333333333333</v>
      </c>
      <c r="O88" s="6" t="str">
        <f t="shared" si="8"/>
        <v>Regular</v>
      </c>
      <c r="P88" s="6">
        <f t="shared" ca="1" si="9"/>
        <v>50</v>
      </c>
      <c r="Q88" s="6" t="str">
        <f t="shared" si="10"/>
        <v>Medium Spender</v>
      </c>
      <c r="R88" s="6" t="str">
        <f t="shared" si="11"/>
        <v>Less active</v>
      </c>
    </row>
    <row r="89" spans="1:18" x14ac:dyDescent="0.3">
      <c r="A89" s="9" t="s">
        <v>238</v>
      </c>
      <c r="B89" s="4" t="s">
        <v>239</v>
      </c>
      <c r="C89" s="4">
        <v>56</v>
      </c>
      <c r="D89" s="4" t="s">
        <v>844</v>
      </c>
      <c r="E89" s="4" t="s">
        <v>68</v>
      </c>
      <c r="F89" s="4" t="s">
        <v>19</v>
      </c>
      <c r="G89" s="4" t="s">
        <v>1026</v>
      </c>
      <c r="H89" s="4" t="s">
        <v>1027</v>
      </c>
      <c r="I89" s="5">
        <v>44759</v>
      </c>
      <c r="J89" s="4" t="s">
        <v>851</v>
      </c>
      <c r="K89" s="4">
        <v>6</v>
      </c>
      <c r="L89" s="4">
        <v>24933</v>
      </c>
      <c r="M89" s="6" t="str">
        <f t="shared" si="6"/>
        <v>Senoir</v>
      </c>
      <c r="N89" s="6">
        <f t="shared" si="7"/>
        <v>4155.5</v>
      </c>
      <c r="O89" s="6" t="str">
        <f t="shared" si="8"/>
        <v>Premium</v>
      </c>
      <c r="P89" s="6">
        <f t="shared" ca="1" si="9"/>
        <v>46</v>
      </c>
      <c r="Q89" s="6" t="str">
        <f t="shared" si="10"/>
        <v>High Spender</v>
      </c>
      <c r="R89" s="6" t="str">
        <f t="shared" si="11"/>
        <v>Less active</v>
      </c>
    </row>
    <row r="90" spans="1:18" x14ac:dyDescent="0.3">
      <c r="A90" s="8" t="s">
        <v>57</v>
      </c>
      <c r="B90" s="2" t="s">
        <v>58</v>
      </c>
      <c r="C90" s="2">
        <v>50</v>
      </c>
      <c r="D90" s="2" t="s">
        <v>848</v>
      </c>
      <c r="E90" s="2" t="s">
        <v>18</v>
      </c>
      <c r="F90" s="2" t="s">
        <v>19</v>
      </c>
      <c r="G90" s="2" t="s">
        <v>1028</v>
      </c>
      <c r="H90" s="2" t="s">
        <v>1029</v>
      </c>
      <c r="I90" s="3">
        <v>44686</v>
      </c>
      <c r="J90" s="2" t="s">
        <v>854</v>
      </c>
      <c r="K90" s="2">
        <v>7</v>
      </c>
      <c r="L90" s="2">
        <v>11593</v>
      </c>
      <c r="M90" s="6" t="str">
        <f t="shared" si="6"/>
        <v>Senoir</v>
      </c>
      <c r="N90" s="6">
        <f t="shared" si="7"/>
        <v>1656.1428571428571</v>
      </c>
      <c r="O90" s="6" t="str">
        <f t="shared" si="8"/>
        <v>Premium</v>
      </c>
      <c r="P90" s="6">
        <f t="shared" ca="1" si="9"/>
        <v>49</v>
      </c>
      <c r="Q90" s="6" t="str">
        <f t="shared" si="10"/>
        <v>Medium Spender</v>
      </c>
      <c r="R90" s="6" t="str">
        <f t="shared" si="11"/>
        <v>Less active</v>
      </c>
    </row>
    <row r="91" spans="1:18" x14ac:dyDescent="0.3">
      <c r="A91" s="9" t="s">
        <v>302</v>
      </c>
      <c r="B91" s="4" t="s">
        <v>303</v>
      </c>
      <c r="C91" s="4">
        <v>21</v>
      </c>
      <c r="D91" s="4" t="s">
        <v>848</v>
      </c>
      <c r="E91" s="4" t="s">
        <v>230</v>
      </c>
      <c r="F91" s="4" t="s">
        <v>19</v>
      </c>
      <c r="G91" s="4" t="s">
        <v>1030</v>
      </c>
      <c r="H91" s="4" t="s">
        <v>1031</v>
      </c>
      <c r="I91" s="5">
        <v>44582</v>
      </c>
      <c r="J91" s="4" t="s">
        <v>851</v>
      </c>
      <c r="K91" s="4">
        <v>4</v>
      </c>
      <c r="L91" s="4">
        <v>5701</v>
      </c>
      <c r="M91" s="6" t="str">
        <f t="shared" si="6"/>
        <v>Young</v>
      </c>
      <c r="N91" s="6">
        <f t="shared" si="7"/>
        <v>1425.25</v>
      </c>
      <c r="O91" s="6" t="str">
        <f t="shared" si="8"/>
        <v>Regular</v>
      </c>
      <c r="P91" s="6">
        <f t="shared" ca="1" si="9"/>
        <v>52</v>
      </c>
      <c r="Q91" s="6" t="str">
        <f t="shared" si="10"/>
        <v>Medium Spender</v>
      </c>
      <c r="R91" s="6" t="str">
        <f t="shared" si="11"/>
        <v>Less active</v>
      </c>
    </row>
    <row r="92" spans="1:18" x14ac:dyDescent="0.3">
      <c r="A92" s="8" t="s">
        <v>719</v>
      </c>
      <c r="B92" s="2" t="s">
        <v>720</v>
      </c>
      <c r="C92" s="2">
        <v>30</v>
      </c>
      <c r="D92" s="2" t="s">
        <v>844</v>
      </c>
      <c r="E92" s="2" t="s">
        <v>137</v>
      </c>
      <c r="F92" s="2" t="s">
        <v>19</v>
      </c>
      <c r="G92" s="2" t="s">
        <v>1032</v>
      </c>
      <c r="H92" s="2" t="s">
        <v>1033</v>
      </c>
      <c r="I92" s="3">
        <v>44922</v>
      </c>
      <c r="J92" s="2" t="s">
        <v>851</v>
      </c>
      <c r="K92" s="2">
        <v>1</v>
      </c>
      <c r="L92" s="2">
        <v>4500</v>
      </c>
      <c r="M92" s="6" t="str">
        <f t="shared" si="6"/>
        <v>Adult</v>
      </c>
      <c r="N92" s="6">
        <f t="shared" si="7"/>
        <v>4500</v>
      </c>
      <c r="O92" s="6" t="str">
        <f t="shared" si="8"/>
        <v>Regular</v>
      </c>
      <c r="P92" s="6">
        <f t="shared" ca="1" si="9"/>
        <v>41</v>
      </c>
      <c r="Q92" s="6" t="str">
        <f t="shared" si="10"/>
        <v>Medium Spender</v>
      </c>
      <c r="R92" s="6" t="str">
        <f t="shared" si="11"/>
        <v>Less active</v>
      </c>
    </row>
    <row r="93" spans="1:18" x14ac:dyDescent="0.3">
      <c r="A93" s="9" t="s">
        <v>131</v>
      </c>
      <c r="B93" s="4" t="s">
        <v>132</v>
      </c>
      <c r="C93" s="4">
        <v>44</v>
      </c>
      <c r="D93" s="4" t="s">
        <v>848</v>
      </c>
      <c r="E93" s="4" t="s">
        <v>133</v>
      </c>
      <c r="F93" s="4" t="s">
        <v>19</v>
      </c>
      <c r="G93" s="4" t="s">
        <v>1034</v>
      </c>
      <c r="H93" s="4" t="s">
        <v>1035</v>
      </c>
      <c r="I93" s="5">
        <v>44846</v>
      </c>
      <c r="J93" s="4" t="s">
        <v>851</v>
      </c>
      <c r="K93" s="4">
        <v>5</v>
      </c>
      <c r="L93" s="4">
        <v>3279.5</v>
      </c>
      <c r="M93" s="6" t="str">
        <f t="shared" si="6"/>
        <v>Senoir</v>
      </c>
      <c r="N93" s="6">
        <f t="shared" si="7"/>
        <v>655.9</v>
      </c>
      <c r="O93" s="6" t="str">
        <f t="shared" si="8"/>
        <v>Regular</v>
      </c>
      <c r="P93" s="6">
        <f t="shared" ca="1" si="9"/>
        <v>44</v>
      </c>
      <c r="Q93" s="6" t="str">
        <f t="shared" si="10"/>
        <v>Medium Spender</v>
      </c>
      <c r="R93" s="6" t="str">
        <f t="shared" si="11"/>
        <v>Less active</v>
      </c>
    </row>
    <row r="94" spans="1:18" x14ac:dyDescent="0.3">
      <c r="A94" s="8" t="s">
        <v>569</v>
      </c>
      <c r="B94" s="2" t="s">
        <v>570</v>
      </c>
      <c r="C94" s="2">
        <v>50</v>
      </c>
      <c r="D94" s="2" t="s">
        <v>844</v>
      </c>
      <c r="E94" s="2" t="s">
        <v>83</v>
      </c>
      <c r="F94" s="2" t="s">
        <v>19</v>
      </c>
      <c r="G94" s="2" t="s">
        <v>1036</v>
      </c>
      <c r="H94" s="2" t="s">
        <v>1037</v>
      </c>
      <c r="I94" s="3">
        <v>44703</v>
      </c>
      <c r="J94" s="2" t="s">
        <v>861</v>
      </c>
      <c r="K94" s="2">
        <v>5</v>
      </c>
      <c r="L94" s="2">
        <v>3070</v>
      </c>
      <c r="M94" s="6" t="str">
        <f t="shared" si="6"/>
        <v>Senoir</v>
      </c>
      <c r="N94" s="6">
        <f t="shared" si="7"/>
        <v>614</v>
      </c>
      <c r="O94" s="6" t="str">
        <f t="shared" si="8"/>
        <v>Regular</v>
      </c>
      <c r="P94" s="6">
        <f t="shared" ca="1" si="9"/>
        <v>48</v>
      </c>
      <c r="Q94" s="6" t="str">
        <f t="shared" si="10"/>
        <v>Medium Spender</v>
      </c>
      <c r="R94" s="6" t="str">
        <f t="shared" si="11"/>
        <v>Less active</v>
      </c>
    </row>
    <row r="95" spans="1:18" x14ac:dyDescent="0.3">
      <c r="A95" s="9" t="s">
        <v>224</v>
      </c>
      <c r="B95" s="4" t="s">
        <v>225</v>
      </c>
      <c r="C95" s="4">
        <v>25</v>
      </c>
      <c r="D95" s="4" t="s">
        <v>848</v>
      </c>
      <c r="E95" s="4" t="s">
        <v>41</v>
      </c>
      <c r="F95" s="4" t="s">
        <v>19</v>
      </c>
      <c r="G95" s="4" t="s">
        <v>1038</v>
      </c>
      <c r="H95" s="4" t="s">
        <v>1039</v>
      </c>
      <c r="I95" s="5">
        <v>44804</v>
      </c>
      <c r="J95" s="4" t="s">
        <v>861</v>
      </c>
      <c r="K95" s="4">
        <v>2</v>
      </c>
      <c r="L95" s="4">
        <v>882</v>
      </c>
      <c r="M95" s="6" t="str">
        <f t="shared" si="6"/>
        <v>Adult</v>
      </c>
      <c r="N95" s="6">
        <f t="shared" si="7"/>
        <v>441</v>
      </c>
      <c r="O95" s="6" t="str">
        <f t="shared" si="8"/>
        <v>Regular</v>
      </c>
      <c r="P95" s="6">
        <f t="shared" ca="1" si="9"/>
        <v>45</v>
      </c>
      <c r="Q95" s="6" t="str">
        <f t="shared" si="10"/>
        <v>Medium Spender</v>
      </c>
      <c r="R95" s="6" t="str">
        <f t="shared" si="11"/>
        <v>Less active</v>
      </c>
    </row>
    <row r="96" spans="1:18" x14ac:dyDescent="0.3">
      <c r="A96" s="8" t="s">
        <v>50</v>
      </c>
      <c r="B96" s="2" t="s">
        <v>51</v>
      </c>
      <c r="C96" s="2">
        <v>56</v>
      </c>
      <c r="D96" s="2" t="s">
        <v>844</v>
      </c>
      <c r="E96" s="2" t="s">
        <v>52</v>
      </c>
      <c r="F96" s="2" t="s">
        <v>53</v>
      </c>
      <c r="G96" s="2" t="s">
        <v>1040</v>
      </c>
      <c r="H96" s="2" t="s">
        <v>1041</v>
      </c>
      <c r="I96" s="3">
        <v>44790</v>
      </c>
      <c r="J96" s="2" t="s">
        <v>861</v>
      </c>
      <c r="K96" s="2">
        <v>11</v>
      </c>
      <c r="L96" s="2">
        <v>49133</v>
      </c>
      <c r="M96" s="6" t="str">
        <f t="shared" si="6"/>
        <v>Senoir</v>
      </c>
      <c r="N96" s="6">
        <f t="shared" si="7"/>
        <v>4466.636363636364</v>
      </c>
      <c r="O96" s="6" t="str">
        <f t="shared" si="8"/>
        <v>Premium</v>
      </c>
      <c r="P96" s="6">
        <f t="shared" ca="1" si="9"/>
        <v>45</v>
      </c>
      <c r="Q96" s="6" t="str">
        <f t="shared" si="10"/>
        <v>High Spender</v>
      </c>
      <c r="R96" s="6" t="str">
        <f t="shared" si="11"/>
        <v>Active</v>
      </c>
    </row>
    <row r="97" spans="1:18" x14ac:dyDescent="0.3">
      <c r="A97" s="9" t="s">
        <v>318</v>
      </c>
      <c r="B97" s="4" t="s">
        <v>319</v>
      </c>
      <c r="C97" s="4">
        <v>48</v>
      </c>
      <c r="D97" s="4" t="s">
        <v>848</v>
      </c>
      <c r="E97" s="4" t="s">
        <v>270</v>
      </c>
      <c r="F97" s="4" t="s">
        <v>19</v>
      </c>
      <c r="G97" s="4" t="s">
        <v>1042</v>
      </c>
      <c r="H97" s="4" t="s">
        <v>1043</v>
      </c>
      <c r="I97" s="5">
        <v>44783</v>
      </c>
      <c r="J97" s="4" t="s">
        <v>861</v>
      </c>
      <c r="K97" s="4">
        <v>5</v>
      </c>
      <c r="L97" s="4">
        <v>114740.5</v>
      </c>
      <c r="M97" s="6" t="str">
        <f t="shared" si="6"/>
        <v>Senoir</v>
      </c>
      <c r="N97" s="6">
        <f t="shared" si="7"/>
        <v>22948.1</v>
      </c>
      <c r="O97" s="6" t="str">
        <f t="shared" si="8"/>
        <v>Premium</v>
      </c>
      <c r="P97" s="6">
        <f t="shared" ca="1" si="9"/>
        <v>46</v>
      </c>
      <c r="Q97" s="6" t="str">
        <f t="shared" si="10"/>
        <v>High Spender</v>
      </c>
      <c r="R97" s="6" t="str">
        <f t="shared" si="11"/>
        <v>Less active</v>
      </c>
    </row>
    <row r="98" spans="1:18" x14ac:dyDescent="0.3">
      <c r="A98" s="8" t="s">
        <v>73</v>
      </c>
      <c r="B98" s="2" t="s">
        <v>74</v>
      </c>
      <c r="C98" s="2">
        <v>20</v>
      </c>
      <c r="D98" s="2" t="s">
        <v>844</v>
      </c>
      <c r="E98" s="2" t="s">
        <v>41</v>
      </c>
      <c r="F98" s="2" t="s">
        <v>19</v>
      </c>
      <c r="G98" s="2" t="s">
        <v>1044</v>
      </c>
      <c r="H98" s="2" t="s">
        <v>1045</v>
      </c>
      <c r="I98" s="3">
        <v>44785</v>
      </c>
      <c r="J98" s="2" t="s">
        <v>847</v>
      </c>
      <c r="K98" s="2">
        <v>5</v>
      </c>
      <c r="L98" s="2">
        <v>25954</v>
      </c>
      <c r="M98" s="6" t="str">
        <f t="shared" si="6"/>
        <v>Young</v>
      </c>
      <c r="N98" s="6">
        <f t="shared" si="7"/>
        <v>5190.8</v>
      </c>
      <c r="O98" s="6" t="str">
        <f t="shared" si="8"/>
        <v>Premium</v>
      </c>
      <c r="P98" s="6">
        <f t="shared" ca="1" si="9"/>
        <v>46</v>
      </c>
      <c r="Q98" s="6" t="str">
        <f t="shared" si="10"/>
        <v>High Spender</v>
      </c>
      <c r="R98" s="6" t="str">
        <f t="shared" si="11"/>
        <v>Less active</v>
      </c>
    </row>
    <row r="99" spans="1:18" x14ac:dyDescent="0.3">
      <c r="A99" s="9" t="s">
        <v>216</v>
      </c>
      <c r="B99" s="4" t="s">
        <v>119</v>
      </c>
      <c r="C99" s="4">
        <v>36</v>
      </c>
      <c r="D99" s="4" t="s">
        <v>844</v>
      </c>
      <c r="E99" s="4" t="s">
        <v>176</v>
      </c>
      <c r="F99" s="4" t="s">
        <v>177</v>
      </c>
      <c r="G99" s="4" t="s">
        <v>1046</v>
      </c>
      <c r="H99" s="4" t="s">
        <v>1047</v>
      </c>
      <c r="I99" s="5">
        <v>44923</v>
      </c>
      <c r="J99" s="4" t="s">
        <v>861</v>
      </c>
      <c r="K99" s="4">
        <v>2</v>
      </c>
      <c r="L99" s="4">
        <v>19200</v>
      </c>
      <c r="M99" s="6" t="str">
        <f t="shared" si="6"/>
        <v>Adult</v>
      </c>
      <c r="N99" s="6">
        <f t="shared" si="7"/>
        <v>9600</v>
      </c>
      <c r="O99" s="6" t="str">
        <f t="shared" si="8"/>
        <v>Premium</v>
      </c>
      <c r="P99" s="6">
        <f t="shared" ca="1" si="9"/>
        <v>41</v>
      </c>
      <c r="Q99" s="6" t="str">
        <f t="shared" si="10"/>
        <v>High Spender</v>
      </c>
      <c r="R99" s="6" t="str">
        <f t="shared" si="11"/>
        <v>Less active</v>
      </c>
    </row>
    <row r="100" spans="1:18" x14ac:dyDescent="0.3">
      <c r="A100" s="8" t="s">
        <v>310</v>
      </c>
      <c r="B100" s="2" t="s">
        <v>311</v>
      </c>
      <c r="C100" s="2">
        <v>57</v>
      </c>
      <c r="D100" s="2" t="s">
        <v>848</v>
      </c>
      <c r="E100" s="2" t="s">
        <v>253</v>
      </c>
      <c r="F100" s="2" t="s">
        <v>155</v>
      </c>
      <c r="G100" s="2" t="s">
        <v>1048</v>
      </c>
      <c r="H100" s="2" t="s">
        <v>1049</v>
      </c>
      <c r="I100" s="3">
        <v>44667</v>
      </c>
      <c r="J100" s="2" t="s">
        <v>861</v>
      </c>
      <c r="K100" s="2">
        <v>8</v>
      </c>
      <c r="L100" s="2">
        <v>100603.5</v>
      </c>
      <c r="M100" s="6" t="str">
        <f t="shared" si="6"/>
        <v>Senoir</v>
      </c>
      <c r="N100" s="6">
        <f t="shared" si="7"/>
        <v>12575.4375</v>
      </c>
      <c r="O100" s="6" t="str">
        <f t="shared" si="8"/>
        <v>Premium</v>
      </c>
      <c r="P100" s="6">
        <f t="shared" ca="1" si="9"/>
        <v>49</v>
      </c>
      <c r="Q100" s="6" t="str">
        <f t="shared" si="10"/>
        <v>High Spender</v>
      </c>
      <c r="R100" s="6" t="str">
        <f t="shared" si="11"/>
        <v>Less active</v>
      </c>
    </row>
    <row r="101" spans="1:18" x14ac:dyDescent="0.3">
      <c r="A101" s="9" t="s">
        <v>448</v>
      </c>
      <c r="B101" s="4" t="s">
        <v>449</v>
      </c>
      <c r="C101" s="4">
        <v>57</v>
      </c>
      <c r="D101" s="4" t="s">
        <v>844</v>
      </c>
      <c r="E101" s="4" t="s">
        <v>27</v>
      </c>
      <c r="F101" s="4" t="s">
        <v>19</v>
      </c>
      <c r="G101" s="4" t="s">
        <v>1050</v>
      </c>
      <c r="H101" s="4" t="s">
        <v>1051</v>
      </c>
      <c r="I101" s="5">
        <v>44642</v>
      </c>
      <c r="J101" s="4" t="s">
        <v>861</v>
      </c>
      <c r="K101" s="4">
        <v>3</v>
      </c>
      <c r="L101" s="4">
        <v>6816</v>
      </c>
      <c r="M101" s="6" t="str">
        <f t="shared" si="6"/>
        <v>Senoir</v>
      </c>
      <c r="N101" s="6">
        <f t="shared" si="7"/>
        <v>2272</v>
      </c>
      <c r="O101" s="6" t="str">
        <f t="shared" si="8"/>
        <v>Regular</v>
      </c>
      <c r="P101" s="6">
        <f t="shared" ca="1" si="9"/>
        <v>50</v>
      </c>
      <c r="Q101" s="6" t="str">
        <f t="shared" si="10"/>
        <v>Medium Spender</v>
      </c>
      <c r="R101" s="6" t="str">
        <f t="shared" si="11"/>
        <v>Less active</v>
      </c>
    </row>
  </sheetData>
  <conditionalFormatting sqref="K1:K1048576">
    <cfRule type="dataBar" priority="3">
      <dataBar>
        <cfvo type="min"/>
        <cfvo type="max"/>
        <color rgb="FFD6007B"/>
      </dataBar>
      <extLst>
        <ext xmlns:x14="http://schemas.microsoft.com/office/spreadsheetml/2009/9/main" uri="{B025F937-C7B1-47D3-B67F-A62EFF666E3E}">
          <x14:id>{435AD361-B80B-48B1-A175-00B3F4510FF6}</x14:id>
        </ext>
      </extLst>
    </cfRule>
  </conditionalFormatting>
  <conditionalFormatting sqref="N1:N1048576">
    <cfRule type="dataBar" priority="2">
      <dataBar>
        <cfvo type="min"/>
        <cfvo type="max"/>
        <color rgb="FF63C384"/>
      </dataBar>
      <extLst>
        <ext xmlns:x14="http://schemas.microsoft.com/office/spreadsheetml/2009/9/main" uri="{B025F937-C7B1-47D3-B67F-A62EFF666E3E}">
          <x14:id>{EEFAF9CF-D663-4CBF-BCCF-2B12B52E61A0}</x14:id>
        </ext>
      </extLst>
    </cfRule>
  </conditionalFormatting>
  <conditionalFormatting sqref="O1:O1048576">
    <cfRule type="iconSet" priority="1">
      <iconSet>
        <cfvo type="percent" val="0"/>
        <cfvo type="percent" val="33"/>
        <cfvo type="percent" val="67"/>
      </iconSet>
    </cfRule>
  </conditionalFormatting>
  <pageMargins left="0.75" right="0.75" top="1" bottom="1" header="0.5" footer="0.5"/>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435AD361-B80B-48B1-A175-00B3F4510FF6}">
            <x14:dataBar minLength="0" maxLength="100" border="1" negativeBarBorderColorSameAsPositive="0">
              <x14:cfvo type="autoMin"/>
              <x14:cfvo type="autoMax"/>
              <x14:borderColor rgb="FFD6007B"/>
              <x14:negativeFillColor rgb="FFFF0000"/>
              <x14:negativeBorderColor rgb="FFFF0000"/>
              <x14:axisColor rgb="FF000000"/>
            </x14:dataBar>
          </x14:cfRule>
          <xm:sqref>K1:K1048576</xm:sqref>
        </x14:conditionalFormatting>
        <x14:conditionalFormatting xmlns:xm="http://schemas.microsoft.com/office/excel/2006/main">
          <x14:cfRule type="dataBar" id="{EEFAF9CF-D663-4CBF-BCCF-2B12B52E61A0}">
            <x14:dataBar minLength="0" maxLength="100" gradient="0">
              <x14:cfvo type="autoMin"/>
              <x14:cfvo type="autoMax"/>
              <x14:negativeFillColor rgb="FFFF0000"/>
              <x14:axisColor rgb="FF000000"/>
            </x14:dataBar>
          </x14:cfRule>
          <xm:sqref>N1:N1048576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9"/>
  <sheetViews>
    <sheetView workbookViewId="0">
      <selection activeCell="R10" sqref="R10"/>
    </sheetView>
  </sheetViews>
  <sheetFormatPr defaultRowHeight="14.4" x14ac:dyDescent="0.3"/>
  <cols>
    <col min="1" max="1" width="12.33203125" customWidth="1"/>
    <col min="2" max="2" width="30" customWidth="1"/>
    <col min="3" max="3" width="18" customWidth="1"/>
    <col min="4" max="4" width="10" customWidth="1"/>
    <col min="5" max="5" width="12" customWidth="1"/>
    <col min="6" max="6" width="18.21875" customWidth="1"/>
    <col min="7" max="7" width="16" customWidth="1"/>
    <col min="8" max="8" width="10" customWidth="1"/>
    <col min="9" max="9" width="16.21875" customWidth="1"/>
    <col min="10" max="10" width="14.88671875" customWidth="1"/>
    <col min="11" max="11" width="15.5546875" style="6" customWidth="1"/>
    <col min="12" max="12" width="16.21875" style="6" customWidth="1"/>
    <col min="13" max="13" width="13.88671875" style="6" customWidth="1"/>
    <col min="14" max="14" width="16.33203125" style="6" customWidth="1"/>
    <col min="15" max="15" width="15.88671875" style="6" customWidth="1"/>
    <col min="16" max="16" width="20.33203125" style="6" customWidth="1"/>
    <col min="17" max="17" width="8.88671875" style="6"/>
    <col min="18" max="18" width="16.6640625" style="6" bestFit="1" customWidth="1"/>
    <col min="19" max="19" width="26.33203125" bestFit="1" customWidth="1"/>
    <col min="20" max="20" width="21" bestFit="1" customWidth="1"/>
    <col min="21" max="46" width="6" bestFit="1" customWidth="1"/>
    <col min="47" max="90" width="7" bestFit="1" customWidth="1"/>
    <col min="91" max="96" width="8" bestFit="1" customWidth="1"/>
    <col min="97" max="98" width="9" bestFit="1" customWidth="1"/>
    <col min="99" max="99" width="10.77734375" bestFit="1" customWidth="1"/>
  </cols>
  <sheetData>
    <row r="1" spans="1:20" ht="24" customHeight="1" x14ac:dyDescent="0.3">
      <c r="A1" s="7" t="s">
        <v>1052</v>
      </c>
      <c r="B1" s="1" t="s">
        <v>7</v>
      </c>
      <c r="C1" s="1" t="s">
        <v>6</v>
      </c>
      <c r="D1" s="1" t="s">
        <v>1053</v>
      </c>
      <c r="E1" s="1" t="s">
        <v>1054</v>
      </c>
      <c r="F1" s="1" t="s">
        <v>1055</v>
      </c>
      <c r="G1" s="1" t="s">
        <v>1056</v>
      </c>
      <c r="H1" s="1" t="s">
        <v>1057</v>
      </c>
      <c r="I1" s="1" t="s">
        <v>1058</v>
      </c>
      <c r="J1" s="1" t="s">
        <v>1059</v>
      </c>
      <c r="K1" s="11" t="s">
        <v>1238</v>
      </c>
      <c r="L1" s="11" t="s">
        <v>1239</v>
      </c>
      <c r="M1" s="11" t="s">
        <v>1240</v>
      </c>
      <c r="N1" s="11" t="s">
        <v>1241</v>
      </c>
      <c r="O1" s="11" t="s">
        <v>1242</v>
      </c>
    </row>
    <row r="2" spans="1:20" x14ac:dyDescent="0.3">
      <c r="A2" s="8" t="s">
        <v>1060</v>
      </c>
      <c r="B2" s="2" t="s">
        <v>291</v>
      </c>
      <c r="C2" s="2" t="s">
        <v>91</v>
      </c>
      <c r="D2" s="2">
        <v>45000</v>
      </c>
      <c r="E2" s="2">
        <v>26654.98</v>
      </c>
      <c r="F2" s="2">
        <v>40.799999999999997</v>
      </c>
      <c r="G2" s="2" t="s">
        <v>1061</v>
      </c>
      <c r="H2" s="2">
        <v>3.3</v>
      </c>
      <c r="I2" s="2">
        <v>253</v>
      </c>
      <c r="J2" s="2">
        <v>36</v>
      </c>
      <c r="K2" s="6">
        <f>D2-E2</f>
        <v>18345.02</v>
      </c>
      <c r="L2" s="6">
        <f>D2*I2</f>
        <v>11385000</v>
      </c>
      <c r="M2" s="6" t="str">
        <f>IF(I2&lt;=J2,"Reorderd Needed","Sufficient")</f>
        <v>Sufficient</v>
      </c>
      <c r="N2" s="6" t="str">
        <f>IF(H2&gt;=4,"Excellent","Average")</f>
        <v>Average</v>
      </c>
      <c r="O2" s="6">
        <f>(D2-E2)*I2</f>
        <v>4641290.0600000005</v>
      </c>
      <c r="R2" s="12" t="s">
        <v>1248</v>
      </c>
      <c r="S2" t="s">
        <v>1258</v>
      </c>
      <c r="T2" t="s">
        <v>1259</v>
      </c>
    </row>
    <row r="3" spans="1:20" x14ac:dyDescent="0.3">
      <c r="A3" s="9" t="s">
        <v>1062</v>
      </c>
      <c r="B3" s="4" t="s">
        <v>320</v>
      </c>
      <c r="C3" s="4" t="s">
        <v>91</v>
      </c>
      <c r="D3" s="4">
        <v>28000</v>
      </c>
      <c r="E3" s="4">
        <v>18168.79</v>
      </c>
      <c r="F3" s="4">
        <v>35.1</v>
      </c>
      <c r="G3" s="4" t="s">
        <v>1063</v>
      </c>
      <c r="H3" s="4">
        <v>3.5</v>
      </c>
      <c r="I3" s="4">
        <v>493</v>
      </c>
      <c r="J3" s="4">
        <v>68</v>
      </c>
      <c r="K3" s="6">
        <f t="shared" ref="K3:K66" si="0">D3-E3</f>
        <v>9831.2099999999991</v>
      </c>
      <c r="L3" s="6">
        <f t="shared" ref="L3:L66" si="1">D3*I3</f>
        <v>13804000</v>
      </c>
      <c r="M3" s="6" t="str">
        <f t="shared" ref="M3:M66" si="2">IF(I3&lt;=J3,"Reorderd Needed","Sufficient")</f>
        <v>Sufficient</v>
      </c>
      <c r="N3" s="6" t="str">
        <f t="shared" ref="N3:N66" si="3">IF(H3&gt;=4,"Excellent","Average")</f>
        <v>Average</v>
      </c>
      <c r="O3" s="6">
        <f t="shared" ref="O3:O66" si="4">(D3-E3)*I3</f>
        <v>4846786.5299999993</v>
      </c>
      <c r="R3" s="13" t="s">
        <v>1256</v>
      </c>
      <c r="S3">
        <v>158</v>
      </c>
      <c r="T3">
        <v>101899</v>
      </c>
    </row>
    <row r="4" spans="1:20" x14ac:dyDescent="0.3">
      <c r="A4" s="8" t="s">
        <v>1064</v>
      </c>
      <c r="B4" s="2" t="s">
        <v>124</v>
      </c>
      <c r="C4" s="2" t="s">
        <v>91</v>
      </c>
      <c r="D4" s="2">
        <v>18000</v>
      </c>
      <c r="E4" s="2">
        <v>9658.5300000000007</v>
      </c>
      <c r="F4" s="2">
        <v>46.3</v>
      </c>
      <c r="G4" s="2" t="s">
        <v>1065</v>
      </c>
      <c r="H4" s="2">
        <v>3.9</v>
      </c>
      <c r="I4" s="2">
        <v>42</v>
      </c>
      <c r="J4" s="2">
        <v>27</v>
      </c>
      <c r="K4" s="6">
        <f t="shared" si="0"/>
        <v>8341.4699999999993</v>
      </c>
      <c r="L4" s="6">
        <f t="shared" si="1"/>
        <v>756000</v>
      </c>
      <c r="M4" s="6" t="str">
        <f t="shared" si="2"/>
        <v>Sufficient</v>
      </c>
      <c r="N4" s="6" t="str">
        <f t="shared" si="3"/>
        <v>Average</v>
      </c>
      <c r="O4" s="6">
        <f t="shared" si="4"/>
        <v>350341.74</v>
      </c>
      <c r="R4" s="13" t="s">
        <v>1257</v>
      </c>
      <c r="S4">
        <v>22270</v>
      </c>
      <c r="T4">
        <v>60346496</v>
      </c>
    </row>
    <row r="5" spans="1:20" x14ac:dyDescent="0.3">
      <c r="A5" s="9" t="s">
        <v>1066</v>
      </c>
      <c r="B5" s="4" t="s">
        <v>500</v>
      </c>
      <c r="C5" s="4" t="s">
        <v>91</v>
      </c>
      <c r="D5" s="4">
        <v>2500</v>
      </c>
      <c r="E5" s="4">
        <v>1394.72</v>
      </c>
      <c r="F5" s="4">
        <v>44.2</v>
      </c>
      <c r="G5" s="4" t="s">
        <v>1067</v>
      </c>
      <c r="H5" s="4">
        <v>4.8</v>
      </c>
      <c r="I5" s="4">
        <v>144</v>
      </c>
      <c r="J5" s="4">
        <v>67</v>
      </c>
      <c r="K5" s="6">
        <f t="shared" si="0"/>
        <v>1105.28</v>
      </c>
      <c r="L5" s="6">
        <f t="shared" si="1"/>
        <v>360000</v>
      </c>
      <c r="M5" s="6" t="str">
        <f t="shared" si="2"/>
        <v>Sufficient</v>
      </c>
      <c r="N5" s="6" t="str">
        <f t="shared" si="3"/>
        <v>Excellent</v>
      </c>
      <c r="O5" s="6">
        <f t="shared" si="4"/>
        <v>159160.32000000001</v>
      </c>
      <c r="R5" s="13" t="s">
        <v>1249</v>
      </c>
      <c r="S5">
        <v>22428</v>
      </c>
      <c r="T5">
        <v>60448395</v>
      </c>
    </row>
    <row r="6" spans="1:20" x14ac:dyDescent="0.3">
      <c r="A6" s="8" t="s">
        <v>1068</v>
      </c>
      <c r="B6" s="2" t="s">
        <v>484</v>
      </c>
      <c r="C6" s="2" t="s">
        <v>91</v>
      </c>
      <c r="D6" s="2">
        <v>3500</v>
      </c>
      <c r="E6" s="2">
        <v>2236.2800000000002</v>
      </c>
      <c r="F6" s="2">
        <v>36.1</v>
      </c>
      <c r="G6" s="2" t="s">
        <v>1061</v>
      </c>
      <c r="H6" s="2">
        <v>4</v>
      </c>
      <c r="I6" s="2">
        <v>235</v>
      </c>
      <c r="J6" s="2">
        <v>28</v>
      </c>
      <c r="K6" s="6">
        <f t="shared" si="0"/>
        <v>1263.7199999999998</v>
      </c>
      <c r="L6" s="6">
        <f t="shared" si="1"/>
        <v>822500</v>
      </c>
      <c r="M6" s="6" t="str">
        <f t="shared" si="2"/>
        <v>Sufficient</v>
      </c>
      <c r="N6" s="6" t="str">
        <f t="shared" si="3"/>
        <v>Excellent</v>
      </c>
      <c r="O6" s="6">
        <f t="shared" si="4"/>
        <v>296974.19999999995</v>
      </c>
      <c r="R6"/>
    </row>
    <row r="7" spans="1:20" x14ac:dyDescent="0.3">
      <c r="A7" s="9" t="s">
        <v>1069</v>
      </c>
      <c r="B7" s="4" t="s">
        <v>120</v>
      </c>
      <c r="C7" s="4" t="s">
        <v>91</v>
      </c>
      <c r="D7" s="4">
        <v>22000</v>
      </c>
      <c r="E7" s="4">
        <v>14640.2</v>
      </c>
      <c r="F7" s="4">
        <v>33.5</v>
      </c>
      <c r="G7" s="4" t="s">
        <v>1070</v>
      </c>
      <c r="H7" s="4">
        <v>3.5</v>
      </c>
      <c r="I7" s="4">
        <v>397</v>
      </c>
      <c r="J7" s="4">
        <v>48</v>
      </c>
      <c r="K7" s="6">
        <f t="shared" si="0"/>
        <v>7359.7999999999993</v>
      </c>
      <c r="L7" s="6">
        <f t="shared" si="1"/>
        <v>8734000</v>
      </c>
      <c r="M7" s="6" t="str">
        <f t="shared" si="2"/>
        <v>Sufficient</v>
      </c>
      <c r="N7" s="6" t="str">
        <f t="shared" si="3"/>
        <v>Average</v>
      </c>
      <c r="O7" s="6">
        <f t="shared" si="4"/>
        <v>2921840.5999999996</v>
      </c>
      <c r="R7"/>
    </row>
    <row r="8" spans="1:20" x14ac:dyDescent="0.3">
      <c r="A8" s="8" t="s">
        <v>1071</v>
      </c>
      <c r="B8" s="2" t="s">
        <v>359</v>
      </c>
      <c r="C8" s="2" t="s">
        <v>91</v>
      </c>
      <c r="D8" s="2">
        <v>8000</v>
      </c>
      <c r="E8" s="2">
        <v>5315.3</v>
      </c>
      <c r="F8" s="2">
        <v>33.6</v>
      </c>
      <c r="G8" s="2" t="s">
        <v>1072</v>
      </c>
      <c r="H8" s="2">
        <v>4.7</v>
      </c>
      <c r="I8" s="2">
        <v>492</v>
      </c>
      <c r="J8" s="2">
        <v>39</v>
      </c>
      <c r="K8" s="6">
        <f t="shared" si="0"/>
        <v>2684.7</v>
      </c>
      <c r="L8" s="6">
        <f t="shared" si="1"/>
        <v>3936000</v>
      </c>
      <c r="M8" s="6" t="str">
        <f t="shared" si="2"/>
        <v>Sufficient</v>
      </c>
      <c r="N8" s="6" t="str">
        <f t="shared" si="3"/>
        <v>Excellent</v>
      </c>
      <c r="O8" s="6">
        <f t="shared" si="4"/>
        <v>1320872.3999999999</v>
      </c>
      <c r="R8" s="12" t="s">
        <v>1248</v>
      </c>
      <c r="S8" t="s">
        <v>1269</v>
      </c>
    </row>
    <row r="9" spans="1:20" x14ac:dyDescent="0.3">
      <c r="A9" s="9" t="s">
        <v>1073</v>
      </c>
      <c r="B9" s="4" t="s">
        <v>92</v>
      </c>
      <c r="C9" s="4" t="s">
        <v>91</v>
      </c>
      <c r="D9" s="4">
        <v>2200</v>
      </c>
      <c r="E9" s="4">
        <v>1394.43</v>
      </c>
      <c r="F9" s="4">
        <v>36.6</v>
      </c>
      <c r="G9" s="4" t="s">
        <v>1063</v>
      </c>
      <c r="H9" s="4">
        <v>3.5</v>
      </c>
      <c r="I9" s="4">
        <v>238</v>
      </c>
      <c r="J9" s="4">
        <v>40</v>
      </c>
      <c r="K9" s="6">
        <f t="shared" si="0"/>
        <v>805.56999999999994</v>
      </c>
      <c r="L9" s="6">
        <f t="shared" si="1"/>
        <v>523600</v>
      </c>
      <c r="M9" s="6" t="str">
        <f t="shared" si="2"/>
        <v>Sufficient</v>
      </c>
      <c r="N9" s="6" t="str">
        <f t="shared" si="3"/>
        <v>Average</v>
      </c>
      <c r="O9" s="6">
        <f t="shared" si="4"/>
        <v>191725.65999999997</v>
      </c>
      <c r="R9" s="13" t="s">
        <v>28</v>
      </c>
      <c r="S9">
        <v>38.5</v>
      </c>
    </row>
    <row r="10" spans="1:20" x14ac:dyDescent="0.3">
      <c r="A10" s="8" t="s">
        <v>1074</v>
      </c>
      <c r="B10" s="2" t="s">
        <v>276</v>
      </c>
      <c r="C10" s="2" t="s">
        <v>91</v>
      </c>
      <c r="D10" s="2">
        <v>1200</v>
      </c>
      <c r="E10" s="2">
        <v>699.34</v>
      </c>
      <c r="F10" s="2">
        <v>41.7</v>
      </c>
      <c r="G10" s="2" t="s">
        <v>1075</v>
      </c>
      <c r="H10" s="2">
        <v>3.8</v>
      </c>
      <c r="I10" s="2">
        <v>471</v>
      </c>
      <c r="J10" s="2">
        <v>32</v>
      </c>
      <c r="K10" s="6">
        <f t="shared" si="0"/>
        <v>500.65999999999997</v>
      </c>
      <c r="L10" s="6">
        <f t="shared" si="1"/>
        <v>565200</v>
      </c>
      <c r="M10" s="6" t="str">
        <f t="shared" si="2"/>
        <v>Sufficient</v>
      </c>
      <c r="N10" s="6" t="str">
        <f t="shared" si="3"/>
        <v>Average</v>
      </c>
      <c r="O10" s="6">
        <f t="shared" si="4"/>
        <v>235810.86</v>
      </c>
      <c r="R10" s="13" t="s">
        <v>149</v>
      </c>
      <c r="S10">
        <v>40.690000000000005</v>
      </c>
    </row>
    <row r="11" spans="1:20" x14ac:dyDescent="0.3">
      <c r="A11" s="9" t="s">
        <v>1076</v>
      </c>
      <c r="B11" s="4" t="s">
        <v>163</v>
      </c>
      <c r="C11" s="4" t="s">
        <v>91</v>
      </c>
      <c r="D11" s="4">
        <v>900</v>
      </c>
      <c r="E11" s="4">
        <v>543.96</v>
      </c>
      <c r="F11" s="4">
        <v>39.6</v>
      </c>
      <c r="G11" s="4" t="s">
        <v>1070</v>
      </c>
      <c r="H11" s="4">
        <v>3.7</v>
      </c>
      <c r="I11" s="4">
        <v>401</v>
      </c>
      <c r="J11" s="4">
        <v>36</v>
      </c>
      <c r="K11" s="6">
        <f t="shared" si="0"/>
        <v>356.03999999999996</v>
      </c>
      <c r="L11" s="6">
        <f t="shared" si="1"/>
        <v>360900</v>
      </c>
      <c r="M11" s="6" t="str">
        <f t="shared" si="2"/>
        <v>Sufficient</v>
      </c>
      <c r="N11" s="6" t="str">
        <f t="shared" si="3"/>
        <v>Average</v>
      </c>
      <c r="O11" s="6">
        <f t="shared" si="4"/>
        <v>142772.03999999998</v>
      </c>
      <c r="R11" s="13" t="s">
        <v>91</v>
      </c>
      <c r="S11">
        <v>38.750000000000007</v>
      </c>
    </row>
    <row r="12" spans="1:20" x14ac:dyDescent="0.3">
      <c r="A12" s="8" t="s">
        <v>1077</v>
      </c>
      <c r="B12" s="2" t="s">
        <v>635</v>
      </c>
      <c r="C12" s="2" t="s">
        <v>69</v>
      </c>
      <c r="D12" s="2">
        <v>1200</v>
      </c>
      <c r="E12" s="2">
        <v>636.22</v>
      </c>
      <c r="F12" s="2">
        <v>47</v>
      </c>
      <c r="G12" s="2" t="s">
        <v>1078</v>
      </c>
      <c r="H12" s="2">
        <v>3.5</v>
      </c>
      <c r="I12" s="2">
        <v>119</v>
      </c>
      <c r="J12" s="2">
        <v>21</v>
      </c>
      <c r="K12" s="6">
        <f t="shared" si="0"/>
        <v>563.78</v>
      </c>
      <c r="L12" s="6">
        <f t="shared" si="1"/>
        <v>142800</v>
      </c>
      <c r="M12" s="6" t="str">
        <f t="shared" si="2"/>
        <v>Sufficient</v>
      </c>
      <c r="N12" s="6" t="str">
        <f t="shared" si="3"/>
        <v>Average</v>
      </c>
      <c r="O12" s="6">
        <f t="shared" si="4"/>
        <v>67089.819999999992</v>
      </c>
      <c r="R12" s="13" t="s">
        <v>54</v>
      </c>
      <c r="S12">
        <v>38.52000000000001</v>
      </c>
    </row>
    <row r="13" spans="1:20" x14ac:dyDescent="0.3">
      <c r="A13" s="9" t="s">
        <v>1079</v>
      </c>
      <c r="B13" s="4" t="s">
        <v>70</v>
      </c>
      <c r="C13" s="4" t="s">
        <v>69</v>
      </c>
      <c r="D13" s="4">
        <v>850</v>
      </c>
      <c r="E13" s="4">
        <v>506.5</v>
      </c>
      <c r="F13" s="4">
        <v>40.4</v>
      </c>
      <c r="G13" s="4" t="s">
        <v>1078</v>
      </c>
      <c r="H13" s="4">
        <v>4.9000000000000004</v>
      </c>
      <c r="I13" s="4">
        <v>367</v>
      </c>
      <c r="J13" s="4">
        <v>57</v>
      </c>
      <c r="K13" s="6">
        <f t="shared" si="0"/>
        <v>343.5</v>
      </c>
      <c r="L13" s="6">
        <f t="shared" si="1"/>
        <v>311950</v>
      </c>
      <c r="M13" s="6" t="str">
        <f t="shared" si="2"/>
        <v>Sufficient</v>
      </c>
      <c r="N13" s="6" t="str">
        <f t="shared" si="3"/>
        <v>Excellent</v>
      </c>
      <c r="O13" s="6">
        <f t="shared" si="4"/>
        <v>126064.5</v>
      </c>
      <c r="R13" s="13" t="s">
        <v>20</v>
      </c>
      <c r="S13">
        <v>39.720000000000006</v>
      </c>
    </row>
    <row r="14" spans="1:20" x14ac:dyDescent="0.3">
      <c r="A14" s="8" t="s">
        <v>1080</v>
      </c>
      <c r="B14" s="2" t="s">
        <v>236</v>
      </c>
      <c r="C14" s="2" t="s">
        <v>69</v>
      </c>
      <c r="D14" s="2">
        <v>1600</v>
      </c>
      <c r="E14" s="2">
        <v>899.5</v>
      </c>
      <c r="F14" s="2">
        <v>43.8</v>
      </c>
      <c r="G14" s="2" t="s">
        <v>1081</v>
      </c>
      <c r="H14" s="2">
        <v>4.8</v>
      </c>
      <c r="I14" s="2">
        <v>230</v>
      </c>
      <c r="J14" s="2">
        <v>71</v>
      </c>
      <c r="K14" s="6">
        <f t="shared" si="0"/>
        <v>700.5</v>
      </c>
      <c r="L14" s="6">
        <f t="shared" si="1"/>
        <v>368000</v>
      </c>
      <c r="M14" s="6" t="str">
        <f t="shared" si="2"/>
        <v>Sufficient</v>
      </c>
      <c r="N14" s="6" t="str">
        <f t="shared" si="3"/>
        <v>Excellent</v>
      </c>
      <c r="O14" s="6">
        <f t="shared" si="4"/>
        <v>161115</v>
      </c>
      <c r="R14" s="13" t="s">
        <v>1249</v>
      </c>
      <c r="S14">
        <v>39.235999999999997</v>
      </c>
    </row>
    <row r="15" spans="1:20" x14ac:dyDescent="0.3">
      <c r="A15" s="9" t="s">
        <v>1082</v>
      </c>
      <c r="B15" s="4" t="s">
        <v>482</v>
      </c>
      <c r="C15" s="4" t="s">
        <v>69</v>
      </c>
      <c r="D15" s="4">
        <v>2800</v>
      </c>
      <c r="E15" s="4">
        <v>2001.36</v>
      </c>
      <c r="F15" s="4">
        <v>28.5</v>
      </c>
      <c r="G15" s="4" t="s">
        <v>1081</v>
      </c>
      <c r="H15" s="4">
        <v>4.5999999999999996</v>
      </c>
      <c r="I15" s="4">
        <v>176</v>
      </c>
      <c r="J15" s="4">
        <v>60</v>
      </c>
      <c r="K15" s="6">
        <f t="shared" si="0"/>
        <v>798.6400000000001</v>
      </c>
      <c r="L15" s="6">
        <f t="shared" si="1"/>
        <v>492800</v>
      </c>
      <c r="M15" s="6" t="str">
        <f t="shared" si="2"/>
        <v>Sufficient</v>
      </c>
      <c r="N15" s="6" t="str">
        <f t="shared" si="3"/>
        <v>Excellent</v>
      </c>
      <c r="O15" s="6">
        <f t="shared" si="4"/>
        <v>140560.64000000001</v>
      </c>
      <c r="R15"/>
    </row>
    <row r="16" spans="1:20" x14ac:dyDescent="0.3">
      <c r="A16" s="8" t="s">
        <v>1083</v>
      </c>
      <c r="B16" s="2" t="s">
        <v>435</v>
      </c>
      <c r="C16" s="2" t="s">
        <v>69</v>
      </c>
      <c r="D16" s="2">
        <v>3500</v>
      </c>
      <c r="E16" s="2">
        <v>2191.94</v>
      </c>
      <c r="F16" s="2">
        <v>37.4</v>
      </c>
      <c r="G16" s="2" t="s">
        <v>1081</v>
      </c>
      <c r="H16" s="2">
        <v>4.0999999999999996</v>
      </c>
      <c r="I16" s="2">
        <v>188</v>
      </c>
      <c r="J16" s="2">
        <v>27</v>
      </c>
      <c r="K16" s="6">
        <f t="shared" si="0"/>
        <v>1308.06</v>
      </c>
      <c r="L16" s="6">
        <f t="shared" si="1"/>
        <v>658000</v>
      </c>
      <c r="M16" s="6" t="str">
        <f t="shared" si="2"/>
        <v>Sufficient</v>
      </c>
      <c r="N16" s="6" t="str">
        <f t="shared" si="3"/>
        <v>Excellent</v>
      </c>
      <c r="O16" s="6">
        <f t="shared" si="4"/>
        <v>245915.28</v>
      </c>
      <c r="R16"/>
    </row>
    <row r="17" spans="1:18" x14ac:dyDescent="0.3">
      <c r="A17" s="9" t="s">
        <v>1084</v>
      </c>
      <c r="B17" s="4" t="s">
        <v>142</v>
      </c>
      <c r="C17" s="4" t="s">
        <v>69</v>
      </c>
      <c r="D17" s="4">
        <v>699</v>
      </c>
      <c r="E17" s="4">
        <v>496.73</v>
      </c>
      <c r="F17" s="4">
        <v>28.9</v>
      </c>
      <c r="G17" s="4" t="s">
        <v>1085</v>
      </c>
      <c r="H17" s="4">
        <v>4.4000000000000004</v>
      </c>
      <c r="I17" s="4">
        <v>29</v>
      </c>
      <c r="J17" s="4">
        <v>55</v>
      </c>
      <c r="K17" s="6">
        <f t="shared" si="0"/>
        <v>202.26999999999998</v>
      </c>
      <c r="L17" s="6">
        <f t="shared" si="1"/>
        <v>20271</v>
      </c>
      <c r="M17" s="6" t="str">
        <f t="shared" si="2"/>
        <v>Reorderd Needed</v>
      </c>
      <c r="N17" s="6" t="str">
        <f t="shared" si="3"/>
        <v>Excellent</v>
      </c>
      <c r="O17" s="6">
        <f t="shared" si="4"/>
        <v>5865.83</v>
      </c>
      <c r="R17"/>
    </row>
    <row r="18" spans="1:18" x14ac:dyDescent="0.3">
      <c r="A18" s="8" t="s">
        <v>1086</v>
      </c>
      <c r="B18" s="2" t="s">
        <v>431</v>
      </c>
      <c r="C18" s="2" t="s">
        <v>69</v>
      </c>
      <c r="D18" s="2">
        <v>1400</v>
      </c>
      <c r="E18" s="2">
        <v>903.32</v>
      </c>
      <c r="F18" s="2">
        <v>35.5</v>
      </c>
      <c r="G18" s="2" t="s">
        <v>1078</v>
      </c>
      <c r="H18" s="2">
        <v>3.8</v>
      </c>
      <c r="I18" s="2">
        <v>261</v>
      </c>
      <c r="J18" s="2">
        <v>36</v>
      </c>
      <c r="K18" s="6">
        <f t="shared" si="0"/>
        <v>496.67999999999995</v>
      </c>
      <c r="L18" s="6">
        <f t="shared" si="1"/>
        <v>365400</v>
      </c>
      <c r="M18" s="6" t="str">
        <f t="shared" si="2"/>
        <v>Sufficient</v>
      </c>
      <c r="N18" s="6" t="str">
        <f t="shared" si="3"/>
        <v>Average</v>
      </c>
      <c r="O18" s="6">
        <f t="shared" si="4"/>
        <v>129633.47999999998</v>
      </c>
      <c r="R18"/>
    </row>
    <row r="19" spans="1:18" x14ac:dyDescent="0.3">
      <c r="A19" s="9" t="s">
        <v>1087</v>
      </c>
      <c r="B19" s="4" t="s">
        <v>274</v>
      </c>
      <c r="C19" s="4" t="s">
        <v>69</v>
      </c>
      <c r="D19" s="4">
        <v>1100</v>
      </c>
      <c r="E19" s="4">
        <v>656.86</v>
      </c>
      <c r="F19" s="4">
        <v>40.299999999999997</v>
      </c>
      <c r="G19" s="4" t="s">
        <v>1088</v>
      </c>
      <c r="H19" s="4">
        <v>3.6</v>
      </c>
      <c r="I19" s="4">
        <v>393</v>
      </c>
      <c r="J19" s="4">
        <v>25</v>
      </c>
      <c r="K19" s="6">
        <f t="shared" si="0"/>
        <v>443.14</v>
      </c>
      <c r="L19" s="6">
        <f t="shared" si="1"/>
        <v>432300</v>
      </c>
      <c r="M19" s="6" t="str">
        <f t="shared" si="2"/>
        <v>Sufficient</v>
      </c>
      <c r="N19" s="6" t="str">
        <f t="shared" si="3"/>
        <v>Average</v>
      </c>
      <c r="O19" s="6">
        <f t="shared" si="4"/>
        <v>174154.02</v>
      </c>
      <c r="R19"/>
    </row>
    <row r="20" spans="1:18" x14ac:dyDescent="0.3">
      <c r="A20" s="8" t="s">
        <v>1089</v>
      </c>
      <c r="B20" s="2" t="s">
        <v>254</v>
      </c>
      <c r="C20" s="2" t="s">
        <v>69</v>
      </c>
      <c r="D20" s="2">
        <v>499</v>
      </c>
      <c r="E20" s="2">
        <v>329.82</v>
      </c>
      <c r="F20" s="2">
        <v>33.9</v>
      </c>
      <c r="G20" s="2" t="s">
        <v>1081</v>
      </c>
      <c r="H20" s="2">
        <v>3.3</v>
      </c>
      <c r="I20" s="2">
        <v>283</v>
      </c>
      <c r="J20" s="2">
        <v>38</v>
      </c>
      <c r="K20" s="6">
        <f t="shared" si="0"/>
        <v>169.18</v>
      </c>
      <c r="L20" s="6">
        <f t="shared" si="1"/>
        <v>141217</v>
      </c>
      <c r="M20" s="6" t="str">
        <f t="shared" si="2"/>
        <v>Sufficient</v>
      </c>
      <c r="N20" s="6" t="str">
        <f t="shared" si="3"/>
        <v>Average</v>
      </c>
      <c r="O20" s="6">
        <f t="shared" si="4"/>
        <v>47877.94</v>
      </c>
      <c r="R20"/>
    </row>
    <row r="21" spans="1:18" x14ac:dyDescent="0.3">
      <c r="A21" s="9" t="s">
        <v>1090</v>
      </c>
      <c r="B21" s="4" t="s">
        <v>194</v>
      </c>
      <c r="C21" s="4" t="s">
        <v>69</v>
      </c>
      <c r="D21" s="4">
        <v>799</v>
      </c>
      <c r="E21" s="4">
        <v>559.64</v>
      </c>
      <c r="F21" s="4">
        <v>30</v>
      </c>
      <c r="G21" s="4" t="s">
        <v>1088</v>
      </c>
      <c r="H21" s="4">
        <v>3.6</v>
      </c>
      <c r="I21" s="4">
        <v>419</v>
      </c>
      <c r="J21" s="4">
        <v>43</v>
      </c>
      <c r="K21" s="6">
        <f t="shared" si="0"/>
        <v>239.36</v>
      </c>
      <c r="L21" s="6">
        <f t="shared" si="1"/>
        <v>334781</v>
      </c>
      <c r="M21" s="6" t="str">
        <f t="shared" si="2"/>
        <v>Sufficient</v>
      </c>
      <c r="N21" s="6" t="str">
        <f t="shared" si="3"/>
        <v>Average</v>
      </c>
      <c r="O21" s="6">
        <f t="shared" si="4"/>
        <v>100291.84000000001</v>
      </c>
      <c r="R21"/>
    </row>
    <row r="22" spans="1:18" x14ac:dyDescent="0.3">
      <c r="A22" s="8" t="s">
        <v>1091</v>
      </c>
      <c r="B22" s="2" t="s">
        <v>415</v>
      </c>
      <c r="C22" s="2" t="s">
        <v>54</v>
      </c>
      <c r="D22" s="2">
        <v>320</v>
      </c>
      <c r="E22" s="2">
        <v>220.91</v>
      </c>
      <c r="F22" s="2">
        <v>31</v>
      </c>
      <c r="G22" s="2" t="s">
        <v>1092</v>
      </c>
      <c r="H22" s="2">
        <v>4.3</v>
      </c>
      <c r="I22" s="2">
        <v>126</v>
      </c>
      <c r="J22" s="2">
        <v>72</v>
      </c>
      <c r="K22" s="6">
        <f t="shared" si="0"/>
        <v>99.09</v>
      </c>
      <c r="L22" s="6">
        <f t="shared" si="1"/>
        <v>40320</v>
      </c>
      <c r="M22" s="6" t="str">
        <f t="shared" si="2"/>
        <v>Sufficient</v>
      </c>
      <c r="N22" s="6" t="str">
        <f t="shared" si="3"/>
        <v>Excellent</v>
      </c>
      <c r="O22" s="6">
        <f t="shared" si="4"/>
        <v>12485.34</v>
      </c>
      <c r="R22"/>
    </row>
    <row r="23" spans="1:18" x14ac:dyDescent="0.3">
      <c r="A23" s="9" t="s">
        <v>1093</v>
      </c>
      <c r="B23" s="4" t="s">
        <v>59</v>
      </c>
      <c r="C23" s="4" t="s">
        <v>54</v>
      </c>
      <c r="D23" s="4">
        <v>160</v>
      </c>
      <c r="E23" s="4">
        <v>80.400000000000006</v>
      </c>
      <c r="F23" s="4">
        <v>49.7</v>
      </c>
      <c r="G23" s="4" t="s">
        <v>1094</v>
      </c>
      <c r="H23" s="4">
        <v>3.4</v>
      </c>
      <c r="I23" s="4">
        <v>89</v>
      </c>
      <c r="J23" s="4">
        <v>53</v>
      </c>
      <c r="K23" s="6">
        <f t="shared" si="0"/>
        <v>79.599999999999994</v>
      </c>
      <c r="L23" s="6">
        <f t="shared" si="1"/>
        <v>14240</v>
      </c>
      <c r="M23" s="6" t="str">
        <f t="shared" si="2"/>
        <v>Sufficient</v>
      </c>
      <c r="N23" s="6" t="str">
        <f t="shared" si="3"/>
        <v>Average</v>
      </c>
      <c r="O23" s="6">
        <f t="shared" si="4"/>
        <v>7084.4</v>
      </c>
      <c r="R23"/>
    </row>
    <row r="24" spans="1:18" x14ac:dyDescent="0.3">
      <c r="A24" s="8" t="s">
        <v>1095</v>
      </c>
      <c r="B24" s="2" t="s">
        <v>86</v>
      </c>
      <c r="C24" s="2" t="s">
        <v>54</v>
      </c>
      <c r="D24" s="2">
        <v>450</v>
      </c>
      <c r="E24" s="2">
        <v>305.29000000000002</v>
      </c>
      <c r="F24" s="2">
        <v>32.200000000000003</v>
      </c>
      <c r="G24" s="2" t="s">
        <v>1094</v>
      </c>
      <c r="H24" s="2">
        <v>4.4000000000000004</v>
      </c>
      <c r="I24" s="2">
        <v>49</v>
      </c>
      <c r="J24" s="2">
        <v>55</v>
      </c>
      <c r="K24" s="6">
        <f t="shared" si="0"/>
        <v>144.70999999999998</v>
      </c>
      <c r="L24" s="6">
        <f t="shared" si="1"/>
        <v>22050</v>
      </c>
      <c r="M24" s="6" t="str">
        <f t="shared" si="2"/>
        <v>Reorderd Needed</v>
      </c>
      <c r="N24" s="6" t="str">
        <f t="shared" si="3"/>
        <v>Excellent</v>
      </c>
      <c r="O24" s="6">
        <f t="shared" si="4"/>
        <v>7090.7899999999991</v>
      </c>
      <c r="R24"/>
    </row>
    <row r="25" spans="1:18" x14ac:dyDescent="0.3">
      <c r="A25" s="9" t="s">
        <v>1096</v>
      </c>
      <c r="B25" s="4" t="s">
        <v>172</v>
      </c>
      <c r="C25" s="4" t="s">
        <v>54</v>
      </c>
      <c r="D25" s="4">
        <v>130</v>
      </c>
      <c r="E25" s="4">
        <v>80.680000000000007</v>
      </c>
      <c r="F25" s="4">
        <v>37.9</v>
      </c>
      <c r="G25" s="4" t="s">
        <v>1097</v>
      </c>
      <c r="H25" s="4">
        <v>3.9</v>
      </c>
      <c r="I25" s="4">
        <v>73</v>
      </c>
      <c r="J25" s="4">
        <v>31</v>
      </c>
      <c r="K25" s="6">
        <f t="shared" si="0"/>
        <v>49.319999999999993</v>
      </c>
      <c r="L25" s="6">
        <f t="shared" si="1"/>
        <v>9490</v>
      </c>
      <c r="M25" s="6" t="str">
        <f t="shared" si="2"/>
        <v>Sufficient</v>
      </c>
      <c r="N25" s="6" t="str">
        <f t="shared" si="3"/>
        <v>Average</v>
      </c>
      <c r="O25" s="6">
        <f t="shared" si="4"/>
        <v>3600.3599999999997</v>
      </c>
      <c r="R25"/>
    </row>
    <row r="26" spans="1:18" x14ac:dyDescent="0.3">
      <c r="A26" s="8" t="s">
        <v>1098</v>
      </c>
      <c r="B26" s="2" t="s">
        <v>75</v>
      </c>
      <c r="C26" s="2" t="s">
        <v>54</v>
      </c>
      <c r="D26" s="2">
        <v>55</v>
      </c>
      <c r="E26" s="2">
        <v>36.78</v>
      </c>
      <c r="F26" s="2">
        <v>33.1</v>
      </c>
      <c r="G26" s="2" t="s">
        <v>1099</v>
      </c>
      <c r="H26" s="2">
        <v>4.0999999999999996</v>
      </c>
      <c r="I26" s="2">
        <v>418</v>
      </c>
      <c r="J26" s="2">
        <v>80</v>
      </c>
      <c r="K26" s="6">
        <f t="shared" si="0"/>
        <v>18.22</v>
      </c>
      <c r="L26" s="6">
        <f t="shared" si="1"/>
        <v>22990</v>
      </c>
      <c r="M26" s="6" t="str">
        <f t="shared" si="2"/>
        <v>Sufficient</v>
      </c>
      <c r="N26" s="6" t="str">
        <f t="shared" si="3"/>
        <v>Excellent</v>
      </c>
      <c r="O26" s="6">
        <f t="shared" si="4"/>
        <v>7615.9599999999991</v>
      </c>
      <c r="R26"/>
    </row>
    <row r="27" spans="1:18" x14ac:dyDescent="0.3">
      <c r="A27" s="9" t="s">
        <v>1100</v>
      </c>
      <c r="B27" s="4" t="s">
        <v>433</v>
      </c>
      <c r="C27" s="4" t="s">
        <v>54</v>
      </c>
      <c r="D27" s="4">
        <v>40</v>
      </c>
      <c r="E27" s="4">
        <v>22.71</v>
      </c>
      <c r="F27" s="4">
        <v>43.2</v>
      </c>
      <c r="G27" s="4" t="s">
        <v>1101</v>
      </c>
      <c r="H27" s="4">
        <v>4.5999999999999996</v>
      </c>
      <c r="I27" s="4">
        <v>341</v>
      </c>
      <c r="J27" s="4">
        <v>21</v>
      </c>
      <c r="K27" s="6">
        <f t="shared" si="0"/>
        <v>17.29</v>
      </c>
      <c r="L27" s="6">
        <f t="shared" si="1"/>
        <v>13640</v>
      </c>
      <c r="M27" s="6" t="str">
        <f t="shared" si="2"/>
        <v>Sufficient</v>
      </c>
      <c r="N27" s="6" t="str">
        <f t="shared" si="3"/>
        <v>Excellent</v>
      </c>
      <c r="O27" s="6">
        <f t="shared" si="4"/>
        <v>5895.8899999999994</v>
      </c>
      <c r="R27"/>
    </row>
    <row r="28" spans="1:18" x14ac:dyDescent="0.3">
      <c r="A28" s="8" t="s">
        <v>1102</v>
      </c>
      <c r="B28" s="2" t="s">
        <v>467</v>
      </c>
      <c r="C28" s="2" t="s">
        <v>54</v>
      </c>
      <c r="D28" s="2">
        <v>220</v>
      </c>
      <c r="E28" s="2">
        <v>119.62</v>
      </c>
      <c r="F28" s="2">
        <v>45.6</v>
      </c>
      <c r="G28" s="2" t="s">
        <v>1092</v>
      </c>
      <c r="H28" s="2">
        <v>3.7</v>
      </c>
      <c r="I28" s="2">
        <v>325</v>
      </c>
      <c r="J28" s="2">
        <v>74</v>
      </c>
      <c r="K28" s="6">
        <f t="shared" si="0"/>
        <v>100.38</v>
      </c>
      <c r="L28" s="6">
        <f t="shared" si="1"/>
        <v>71500</v>
      </c>
      <c r="M28" s="6" t="str">
        <f t="shared" si="2"/>
        <v>Sufficient</v>
      </c>
      <c r="N28" s="6" t="str">
        <f t="shared" si="3"/>
        <v>Average</v>
      </c>
      <c r="O28" s="6">
        <f t="shared" si="4"/>
        <v>32623.5</v>
      </c>
      <c r="R28"/>
    </row>
    <row r="29" spans="1:18" x14ac:dyDescent="0.3">
      <c r="A29" s="9" t="s">
        <v>1103</v>
      </c>
      <c r="B29" s="4" t="s">
        <v>55</v>
      </c>
      <c r="C29" s="4" t="s">
        <v>54</v>
      </c>
      <c r="D29" s="4">
        <v>180</v>
      </c>
      <c r="E29" s="4">
        <v>93.39</v>
      </c>
      <c r="F29" s="4">
        <v>48.1</v>
      </c>
      <c r="G29" s="4" t="s">
        <v>1099</v>
      </c>
      <c r="H29" s="4">
        <v>3.9</v>
      </c>
      <c r="I29" s="4">
        <v>213</v>
      </c>
      <c r="J29" s="4">
        <v>36</v>
      </c>
      <c r="K29" s="6">
        <f t="shared" si="0"/>
        <v>86.61</v>
      </c>
      <c r="L29" s="6">
        <f t="shared" si="1"/>
        <v>38340</v>
      </c>
      <c r="M29" s="6" t="str">
        <f t="shared" si="2"/>
        <v>Sufficient</v>
      </c>
      <c r="N29" s="6" t="str">
        <f t="shared" si="3"/>
        <v>Average</v>
      </c>
      <c r="O29" s="6">
        <f t="shared" si="4"/>
        <v>18447.93</v>
      </c>
      <c r="R29"/>
    </row>
    <row r="30" spans="1:18" x14ac:dyDescent="0.3">
      <c r="A30" s="8" t="s">
        <v>1104</v>
      </c>
      <c r="B30" s="2" t="s">
        <v>84</v>
      </c>
      <c r="C30" s="2" t="s">
        <v>54</v>
      </c>
      <c r="D30" s="2">
        <v>280</v>
      </c>
      <c r="E30" s="2">
        <v>196.52</v>
      </c>
      <c r="F30" s="2">
        <v>29.8</v>
      </c>
      <c r="G30" s="2" t="s">
        <v>1099</v>
      </c>
      <c r="H30" s="2">
        <v>4.5</v>
      </c>
      <c r="I30" s="2">
        <v>500</v>
      </c>
      <c r="J30" s="2">
        <v>50</v>
      </c>
      <c r="K30" s="6">
        <f t="shared" si="0"/>
        <v>83.47999999999999</v>
      </c>
      <c r="L30" s="6">
        <f t="shared" si="1"/>
        <v>140000</v>
      </c>
      <c r="M30" s="6" t="str">
        <f t="shared" si="2"/>
        <v>Sufficient</v>
      </c>
      <c r="N30" s="6" t="str">
        <f t="shared" si="3"/>
        <v>Excellent</v>
      </c>
      <c r="O30" s="6">
        <f t="shared" si="4"/>
        <v>41739.999999999993</v>
      </c>
      <c r="R30"/>
    </row>
    <row r="31" spans="1:18" x14ac:dyDescent="0.3">
      <c r="A31" s="9" t="s">
        <v>1105</v>
      </c>
      <c r="B31" s="4" t="s">
        <v>413</v>
      </c>
      <c r="C31" s="4" t="s">
        <v>54</v>
      </c>
      <c r="D31" s="4">
        <v>350</v>
      </c>
      <c r="E31" s="4">
        <v>228.87</v>
      </c>
      <c r="F31" s="4">
        <v>34.6</v>
      </c>
      <c r="G31" s="4" t="s">
        <v>1099</v>
      </c>
      <c r="H31" s="4">
        <v>4</v>
      </c>
      <c r="I31" s="4">
        <v>482</v>
      </c>
      <c r="J31" s="4">
        <v>51</v>
      </c>
      <c r="K31" s="6">
        <f t="shared" si="0"/>
        <v>121.13</v>
      </c>
      <c r="L31" s="6">
        <f t="shared" si="1"/>
        <v>168700</v>
      </c>
      <c r="M31" s="6" t="str">
        <f t="shared" si="2"/>
        <v>Sufficient</v>
      </c>
      <c r="N31" s="6" t="str">
        <f t="shared" si="3"/>
        <v>Excellent</v>
      </c>
      <c r="O31" s="6">
        <f t="shared" si="4"/>
        <v>58384.659999999996</v>
      </c>
      <c r="R31"/>
    </row>
    <row r="32" spans="1:18" x14ac:dyDescent="0.3">
      <c r="A32" s="8" t="s">
        <v>1106</v>
      </c>
      <c r="B32" s="2" t="s">
        <v>178</v>
      </c>
      <c r="C32" s="2" t="s">
        <v>126</v>
      </c>
      <c r="D32" s="2">
        <v>2800</v>
      </c>
      <c r="E32" s="2">
        <v>1879.62</v>
      </c>
      <c r="F32" s="2">
        <v>32.9</v>
      </c>
      <c r="G32" s="2" t="s">
        <v>1107</v>
      </c>
      <c r="H32" s="2">
        <v>3.4</v>
      </c>
      <c r="I32" s="2">
        <v>445</v>
      </c>
      <c r="J32" s="2">
        <v>58</v>
      </c>
      <c r="K32" s="6">
        <f t="shared" si="0"/>
        <v>920.38000000000011</v>
      </c>
      <c r="L32" s="6">
        <f t="shared" si="1"/>
        <v>1246000</v>
      </c>
      <c r="M32" s="6" t="str">
        <f t="shared" si="2"/>
        <v>Sufficient</v>
      </c>
      <c r="N32" s="6" t="str">
        <f t="shared" si="3"/>
        <v>Average</v>
      </c>
      <c r="O32" s="6">
        <f t="shared" si="4"/>
        <v>409569.10000000003</v>
      </c>
      <c r="R32"/>
    </row>
    <row r="33" spans="1:18" x14ac:dyDescent="0.3">
      <c r="A33" s="9" t="s">
        <v>1108</v>
      </c>
      <c r="B33" s="4" t="s">
        <v>308</v>
      </c>
      <c r="C33" s="4" t="s">
        <v>126</v>
      </c>
      <c r="D33" s="4">
        <v>1500</v>
      </c>
      <c r="E33" s="4">
        <v>1051.6500000000001</v>
      </c>
      <c r="F33" s="4">
        <v>29.9</v>
      </c>
      <c r="G33" s="4" t="s">
        <v>1109</v>
      </c>
      <c r="H33" s="4">
        <v>4.0999999999999996</v>
      </c>
      <c r="I33" s="4">
        <v>435</v>
      </c>
      <c r="J33" s="4">
        <v>54</v>
      </c>
      <c r="K33" s="6">
        <f t="shared" si="0"/>
        <v>448.34999999999991</v>
      </c>
      <c r="L33" s="6">
        <f t="shared" si="1"/>
        <v>652500</v>
      </c>
      <c r="M33" s="6" t="str">
        <f t="shared" si="2"/>
        <v>Sufficient</v>
      </c>
      <c r="N33" s="6" t="str">
        <f t="shared" si="3"/>
        <v>Excellent</v>
      </c>
      <c r="O33" s="6">
        <f t="shared" si="4"/>
        <v>195032.24999999997</v>
      </c>
      <c r="R33"/>
    </row>
    <row r="34" spans="1:18" x14ac:dyDescent="0.3">
      <c r="A34" s="8" t="s">
        <v>1110</v>
      </c>
      <c r="B34" s="2" t="s">
        <v>127</v>
      </c>
      <c r="C34" s="2" t="s">
        <v>126</v>
      </c>
      <c r="D34" s="2">
        <v>850</v>
      </c>
      <c r="E34" s="2">
        <v>580.24</v>
      </c>
      <c r="F34" s="2">
        <v>31.7</v>
      </c>
      <c r="G34" s="2" t="s">
        <v>1107</v>
      </c>
      <c r="H34" s="2">
        <v>4.5999999999999996</v>
      </c>
      <c r="I34" s="2">
        <v>282</v>
      </c>
      <c r="J34" s="2">
        <v>53</v>
      </c>
      <c r="K34" s="6">
        <f t="shared" si="0"/>
        <v>269.76</v>
      </c>
      <c r="L34" s="6">
        <f t="shared" si="1"/>
        <v>239700</v>
      </c>
      <c r="M34" s="6" t="str">
        <f t="shared" si="2"/>
        <v>Sufficient</v>
      </c>
      <c r="N34" s="6" t="str">
        <f t="shared" si="3"/>
        <v>Excellent</v>
      </c>
      <c r="O34" s="6">
        <f t="shared" si="4"/>
        <v>76072.319999999992</v>
      </c>
      <c r="R34"/>
    </row>
    <row r="35" spans="1:18" x14ac:dyDescent="0.3">
      <c r="A35" s="9" t="s">
        <v>1111</v>
      </c>
      <c r="B35" s="4" t="s">
        <v>261</v>
      </c>
      <c r="C35" s="4" t="s">
        <v>126</v>
      </c>
      <c r="D35" s="4">
        <v>9500</v>
      </c>
      <c r="E35" s="4">
        <v>5047.7</v>
      </c>
      <c r="F35" s="4">
        <v>46.9</v>
      </c>
      <c r="G35" s="4" t="s">
        <v>1109</v>
      </c>
      <c r="H35" s="4">
        <v>4.2</v>
      </c>
      <c r="I35" s="4">
        <v>302</v>
      </c>
      <c r="J35" s="4">
        <v>66</v>
      </c>
      <c r="K35" s="6">
        <f t="shared" si="0"/>
        <v>4452.3</v>
      </c>
      <c r="L35" s="6">
        <f t="shared" si="1"/>
        <v>2869000</v>
      </c>
      <c r="M35" s="6" t="str">
        <f t="shared" si="2"/>
        <v>Sufficient</v>
      </c>
      <c r="N35" s="6" t="str">
        <f t="shared" si="3"/>
        <v>Excellent</v>
      </c>
      <c r="O35" s="6">
        <f t="shared" si="4"/>
        <v>1344594.6</v>
      </c>
      <c r="R35"/>
    </row>
    <row r="36" spans="1:18" x14ac:dyDescent="0.3">
      <c r="A36" s="8" t="s">
        <v>1112</v>
      </c>
      <c r="B36" s="2" t="s">
        <v>409</v>
      </c>
      <c r="C36" s="2" t="s">
        <v>126</v>
      </c>
      <c r="D36" s="2">
        <v>1800</v>
      </c>
      <c r="E36" s="2">
        <v>942.23</v>
      </c>
      <c r="F36" s="2">
        <v>47.7</v>
      </c>
      <c r="G36" s="2" t="s">
        <v>1113</v>
      </c>
      <c r="H36" s="2">
        <v>3.6</v>
      </c>
      <c r="I36" s="2">
        <v>153</v>
      </c>
      <c r="J36" s="2">
        <v>39</v>
      </c>
      <c r="K36" s="6">
        <f t="shared" si="0"/>
        <v>857.77</v>
      </c>
      <c r="L36" s="6">
        <f t="shared" si="1"/>
        <v>275400</v>
      </c>
      <c r="M36" s="6" t="str">
        <f t="shared" si="2"/>
        <v>Sufficient</v>
      </c>
      <c r="N36" s="6" t="str">
        <f t="shared" si="3"/>
        <v>Average</v>
      </c>
      <c r="O36" s="6">
        <f t="shared" si="4"/>
        <v>131238.81</v>
      </c>
      <c r="R36"/>
    </row>
    <row r="37" spans="1:18" x14ac:dyDescent="0.3">
      <c r="A37" s="9" t="s">
        <v>1114</v>
      </c>
      <c r="B37" s="4" t="s">
        <v>337</v>
      </c>
      <c r="C37" s="4" t="s">
        <v>126</v>
      </c>
      <c r="D37" s="4">
        <v>2200</v>
      </c>
      <c r="E37" s="4">
        <v>1347.05</v>
      </c>
      <c r="F37" s="4">
        <v>38.799999999999997</v>
      </c>
      <c r="G37" s="4" t="s">
        <v>1115</v>
      </c>
      <c r="H37" s="4">
        <v>3.7</v>
      </c>
      <c r="I37" s="4">
        <v>332</v>
      </c>
      <c r="J37" s="4">
        <v>80</v>
      </c>
      <c r="K37" s="6">
        <f t="shared" si="0"/>
        <v>852.95</v>
      </c>
      <c r="L37" s="6">
        <f t="shared" si="1"/>
        <v>730400</v>
      </c>
      <c r="M37" s="6" t="str">
        <f t="shared" si="2"/>
        <v>Sufficient</v>
      </c>
      <c r="N37" s="6" t="str">
        <f t="shared" si="3"/>
        <v>Average</v>
      </c>
      <c r="O37" s="6">
        <f t="shared" si="4"/>
        <v>283179.40000000002</v>
      </c>
      <c r="R37"/>
    </row>
    <row r="38" spans="1:18" x14ac:dyDescent="0.3">
      <c r="A38" s="8" t="s">
        <v>1116</v>
      </c>
      <c r="B38" s="2" t="s">
        <v>189</v>
      </c>
      <c r="C38" s="2" t="s">
        <v>126</v>
      </c>
      <c r="D38" s="2">
        <v>4500</v>
      </c>
      <c r="E38" s="2">
        <v>2905.5</v>
      </c>
      <c r="F38" s="2">
        <v>35.4</v>
      </c>
      <c r="G38" s="2" t="s">
        <v>1117</v>
      </c>
      <c r="H38" s="2">
        <v>4.2</v>
      </c>
      <c r="I38" s="2">
        <v>356</v>
      </c>
      <c r="J38" s="2">
        <v>52</v>
      </c>
      <c r="K38" s="6">
        <f t="shared" si="0"/>
        <v>1594.5</v>
      </c>
      <c r="L38" s="6">
        <f t="shared" si="1"/>
        <v>1602000</v>
      </c>
      <c r="M38" s="6" t="str">
        <f t="shared" si="2"/>
        <v>Sufficient</v>
      </c>
      <c r="N38" s="6" t="str">
        <f t="shared" si="3"/>
        <v>Excellent</v>
      </c>
      <c r="O38" s="6">
        <f t="shared" si="4"/>
        <v>567642</v>
      </c>
      <c r="R38"/>
    </row>
    <row r="39" spans="1:18" x14ac:dyDescent="0.3">
      <c r="A39" s="9" t="s">
        <v>1118</v>
      </c>
      <c r="B39" s="4" t="s">
        <v>231</v>
      </c>
      <c r="C39" s="4" t="s">
        <v>126</v>
      </c>
      <c r="D39" s="4">
        <v>350</v>
      </c>
      <c r="E39" s="4">
        <v>201.16</v>
      </c>
      <c r="F39" s="4">
        <v>42.5</v>
      </c>
      <c r="G39" s="4" t="s">
        <v>1109</v>
      </c>
      <c r="H39" s="4">
        <v>3.4</v>
      </c>
      <c r="I39" s="4">
        <v>417</v>
      </c>
      <c r="J39" s="4">
        <v>47</v>
      </c>
      <c r="K39" s="6">
        <f t="shared" si="0"/>
        <v>148.84</v>
      </c>
      <c r="L39" s="6">
        <f t="shared" si="1"/>
        <v>145950</v>
      </c>
      <c r="M39" s="6" t="str">
        <f t="shared" si="2"/>
        <v>Sufficient</v>
      </c>
      <c r="N39" s="6" t="str">
        <f t="shared" si="3"/>
        <v>Average</v>
      </c>
      <c r="O39" s="6">
        <f t="shared" si="4"/>
        <v>62066.28</v>
      </c>
      <c r="R39"/>
    </row>
    <row r="40" spans="1:18" x14ac:dyDescent="0.3">
      <c r="A40" s="8" t="s">
        <v>1119</v>
      </c>
      <c r="B40" s="2" t="s">
        <v>367</v>
      </c>
      <c r="C40" s="2" t="s">
        <v>126</v>
      </c>
      <c r="D40" s="2">
        <v>280</v>
      </c>
      <c r="E40" s="2">
        <v>145.88</v>
      </c>
      <c r="F40" s="2">
        <v>47.9</v>
      </c>
      <c r="G40" s="2" t="s">
        <v>1120</v>
      </c>
      <c r="H40" s="2">
        <v>3.3</v>
      </c>
      <c r="I40" s="2">
        <v>223</v>
      </c>
      <c r="J40" s="2">
        <v>23</v>
      </c>
      <c r="K40" s="6">
        <f t="shared" si="0"/>
        <v>134.12</v>
      </c>
      <c r="L40" s="6">
        <f t="shared" si="1"/>
        <v>62440</v>
      </c>
      <c r="M40" s="6" t="str">
        <f t="shared" si="2"/>
        <v>Sufficient</v>
      </c>
      <c r="N40" s="6" t="str">
        <f t="shared" si="3"/>
        <v>Average</v>
      </c>
      <c r="O40" s="6">
        <f t="shared" si="4"/>
        <v>29908.760000000002</v>
      </c>
      <c r="R40"/>
    </row>
    <row r="41" spans="1:18" x14ac:dyDescent="0.3">
      <c r="A41" s="9" t="s">
        <v>1121</v>
      </c>
      <c r="B41" s="4" t="s">
        <v>222</v>
      </c>
      <c r="C41" s="4" t="s">
        <v>126</v>
      </c>
      <c r="D41" s="4">
        <v>650</v>
      </c>
      <c r="E41" s="4">
        <v>464.2</v>
      </c>
      <c r="F41" s="4">
        <v>28.6</v>
      </c>
      <c r="G41" s="4" t="s">
        <v>1120</v>
      </c>
      <c r="H41" s="4">
        <v>4.5</v>
      </c>
      <c r="I41" s="4">
        <v>149</v>
      </c>
      <c r="J41" s="4">
        <v>71</v>
      </c>
      <c r="K41" s="6">
        <f t="shared" si="0"/>
        <v>185.8</v>
      </c>
      <c r="L41" s="6">
        <f t="shared" si="1"/>
        <v>96850</v>
      </c>
      <c r="M41" s="6" t="str">
        <f t="shared" si="2"/>
        <v>Sufficient</v>
      </c>
      <c r="N41" s="6" t="str">
        <f t="shared" si="3"/>
        <v>Excellent</v>
      </c>
      <c r="O41" s="6">
        <f t="shared" si="4"/>
        <v>27684.2</v>
      </c>
      <c r="R41"/>
    </row>
    <row r="42" spans="1:18" x14ac:dyDescent="0.3">
      <c r="A42" s="8" t="s">
        <v>1122</v>
      </c>
      <c r="B42" s="2" t="s">
        <v>344</v>
      </c>
      <c r="C42" s="2" t="s">
        <v>20</v>
      </c>
      <c r="D42" s="2">
        <v>1800</v>
      </c>
      <c r="E42" s="2">
        <v>1168.1300000000001</v>
      </c>
      <c r="F42" s="2">
        <v>35.1</v>
      </c>
      <c r="G42" s="2" t="s">
        <v>1123</v>
      </c>
      <c r="H42" s="2">
        <v>4.4000000000000004</v>
      </c>
      <c r="I42" s="2">
        <v>47</v>
      </c>
      <c r="J42" s="2">
        <v>23</v>
      </c>
      <c r="K42" s="6">
        <f t="shared" si="0"/>
        <v>631.86999999999989</v>
      </c>
      <c r="L42" s="6">
        <f t="shared" si="1"/>
        <v>84600</v>
      </c>
      <c r="M42" s="6" t="str">
        <f t="shared" si="2"/>
        <v>Sufficient</v>
      </c>
      <c r="N42" s="6" t="str">
        <f t="shared" si="3"/>
        <v>Excellent</v>
      </c>
      <c r="O42" s="6">
        <f t="shared" si="4"/>
        <v>29697.889999999996</v>
      </c>
      <c r="R42"/>
    </row>
    <row r="43" spans="1:18" x14ac:dyDescent="0.3">
      <c r="A43" s="9" t="s">
        <v>1124</v>
      </c>
      <c r="B43" s="4" t="s">
        <v>355</v>
      </c>
      <c r="C43" s="4" t="s">
        <v>20</v>
      </c>
      <c r="D43" s="4">
        <v>800</v>
      </c>
      <c r="E43" s="4">
        <v>441.38</v>
      </c>
      <c r="F43" s="4">
        <v>44.8</v>
      </c>
      <c r="G43" s="4" t="s">
        <v>1125</v>
      </c>
      <c r="H43" s="4">
        <v>4.0999999999999996</v>
      </c>
      <c r="I43" s="4">
        <v>497</v>
      </c>
      <c r="J43" s="4">
        <v>37</v>
      </c>
      <c r="K43" s="6">
        <f t="shared" si="0"/>
        <v>358.62</v>
      </c>
      <c r="L43" s="6">
        <f t="shared" si="1"/>
        <v>397600</v>
      </c>
      <c r="M43" s="6" t="str">
        <f t="shared" si="2"/>
        <v>Sufficient</v>
      </c>
      <c r="N43" s="6" t="str">
        <f t="shared" si="3"/>
        <v>Excellent</v>
      </c>
      <c r="O43" s="6">
        <f t="shared" si="4"/>
        <v>178234.14</v>
      </c>
      <c r="R43"/>
    </row>
    <row r="44" spans="1:18" x14ac:dyDescent="0.3">
      <c r="A44" s="8" t="s">
        <v>1126</v>
      </c>
      <c r="B44" s="2" t="s">
        <v>202</v>
      </c>
      <c r="C44" s="2" t="s">
        <v>20</v>
      </c>
      <c r="D44" s="2">
        <v>650</v>
      </c>
      <c r="E44" s="2">
        <v>369.22</v>
      </c>
      <c r="F44" s="2">
        <v>43.2</v>
      </c>
      <c r="G44" s="2" t="s">
        <v>1127</v>
      </c>
      <c r="H44" s="2">
        <v>4.5</v>
      </c>
      <c r="I44" s="2">
        <v>257</v>
      </c>
      <c r="J44" s="2">
        <v>42</v>
      </c>
      <c r="K44" s="6">
        <f t="shared" si="0"/>
        <v>280.77999999999997</v>
      </c>
      <c r="L44" s="6">
        <f t="shared" si="1"/>
        <v>167050</v>
      </c>
      <c r="M44" s="6" t="str">
        <f t="shared" si="2"/>
        <v>Sufficient</v>
      </c>
      <c r="N44" s="6" t="str">
        <f t="shared" si="3"/>
        <v>Excellent</v>
      </c>
      <c r="O44" s="6">
        <f t="shared" si="4"/>
        <v>72160.459999999992</v>
      </c>
      <c r="R44"/>
    </row>
    <row r="45" spans="1:18" x14ac:dyDescent="0.3">
      <c r="A45" s="9" t="s">
        <v>1128</v>
      </c>
      <c r="B45" s="4" t="s">
        <v>327</v>
      </c>
      <c r="C45" s="4" t="s">
        <v>20</v>
      </c>
      <c r="D45" s="4">
        <v>950</v>
      </c>
      <c r="E45" s="4">
        <v>682.52</v>
      </c>
      <c r="F45" s="4">
        <v>28.2</v>
      </c>
      <c r="G45" s="4" t="s">
        <v>1129</v>
      </c>
      <c r="H45" s="4">
        <v>4.4000000000000004</v>
      </c>
      <c r="I45" s="4">
        <v>403</v>
      </c>
      <c r="J45" s="4">
        <v>52</v>
      </c>
      <c r="K45" s="6">
        <f t="shared" si="0"/>
        <v>267.48</v>
      </c>
      <c r="L45" s="6">
        <f t="shared" si="1"/>
        <v>382850</v>
      </c>
      <c r="M45" s="6" t="str">
        <f t="shared" si="2"/>
        <v>Sufficient</v>
      </c>
      <c r="N45" s="6" t="str">
        <f t="shared" si="3"/>
        <v>Excellent</v>
      </c>
      <c r="O45" s="6">
        <f t="shared" si="4"/>
        <v>107794.44</v>
      </c>
      <c r="R45"/>
    </row>
    <row r="46" spans="1:18" x14ac:dyDescent="0.3">
      <c r="A46" s="8" t="s">
        <v>1130</v>
      </c>
      <c r="B46" s="2" t="s">
        <v>36</v>
      </c>
      <c r="C46" s="2" t="s">
        <v>20</v>
      </c>
      <c r="D46" s="2">
        <v>1200</v>
      </c>
      <c r="E46" s="2">
        <v>618.82000000000005</v>
      </c>
      <c r="F46" s="2">
        <v>48.4</v>
      </c>
      <c r="G46" s="2" t="s">
        <v>1131</v>
      </c>
      <c r="H46" s="2">
        <v>4.8</v>
      </c>
      <c r="I46" s="2">
        <v>162</v>
      </c>
      <c r="J46" s="2">
        <v>40</v>
      </c>
      <c r="K46" s="6">
        <f t="shared" si="0"/>
        <v>581.17999999999995</v>
      </c>
      <c r="L46" s="6">
        <f t="shared" si="1"/>
        <v>194400</v>
      </c>
      <c r="M46" s="6" t="str">
        <f t="shared" si="2"/>
        <v>Sufficient</v>
      </c>
      <c r="N46" s="6" t="str">
        <f t="shared" si="3"/>
        <v>Excellent</v>
      </c>
      <c r="O46" s="6">
        <f t="shared" si="4"/>
        <v>94151.159999999989</v>
      </c>
      <c r="R46"/>
    </row>
    <row r="47" spans="1:18" x14ac:dyDescent="0.3">
      <c r="A47" s="9" t="s">
        <v>1132</v>
      </c>
      <c r="B47" s="4" t="s">
        <v>116</v>
      </c>
      <c r="C47" s="4" t="s">
        <v>20</v>
      </c>
      <c r="D47" s="4">
        <v>450</v>
      </c>
      <c r="E47" s="4">
        <v>282.61</v>
      </c>
      <c r="F47" s="4">
        <v>37.200000000000003</v>
      </c>
      <c r="G47" s="4" t="s">
        <v>1125</v>
      </c>
      <c r="H47" s="4">
        <v>4.3</v>
      </c>
      <c r="I47" s="4">
        <v>359</v>
      </c>
      <c r="J47" s="4">
        <v>72</v>
      </c>
      <c r="K47" s="6">
        <f t="shared" si="0"/>
        <v>167.39</v>
      </c>
      <c r="L47" s="6">
        <f t="shared" si="1"/>
        <v>161550</v>
      </c>
      <c r="M47" s="6" t="str">
        <f t="shared" si="2"/>
        <v>Sufficient</v>
      </c>
      <c r="N47" s="6" t="str">
        <f t="shared" si="3"/>
        <v>Excellent</v>
      </c>
      <c r="O47" s="6">
        <f t="shared" si="4"/>
        <v>60093.009999999995</v>
      </c>
      <c r="R47"/>
    </row>
    <row r="48" spans="1:18" x14ac:dyDescent="0.3">
      <c r="A48" s="8" t="s">
        <v>1133</v>
      </c>
      <c r="B48" s="2" t="s">
        <v>42</v>
      </c>
      <c r="C48" s="2" t="s">
        <v>20</v>
      </c>
      <c r="D48" s="2">
        <v>1100</v>
      </c>
      <c r="E48" s="2">
        <v>767.85</v>
      </c>
      <c r="F48" s="2">
        <v>30.2</v>
      </c>
      <c r="G48" s="2" t="s">
        <v>1129</v>
      </c>
      <c r="H48" s="2">
        <v>3.3</v>
      </c>
      <c r="I48" s="2">
        <v>425</v>
      </c>
      <c r="J48" s="2">
        <v>70</v>
      </c>
      <c r="K48" s="6">
        <f t="shared" si="0"/>
        <v>332.15</v>
      </c>
      <c r="L48" s="6">
        <f t="shared" si="1"/>
        <v>467500</v>
      </c>
      <c r="M48" s="6" t="str">
        <f t="shared" si="2"/>
        <v>Sufficient</v>
      </c>
      <c r="N48" s="6" t="str">
        <f t="shared" si="3"/>
        <v>Average</v>
      </c>
      <c r="O48" s="6">
        <f t="shared" si="4"/>
        <v>141163.75</v>
      </c>
      <c r="R48"/>
    </row>
    <row r="49" spans="1:18" x14ac:dyDescent="0.3">
      <c r="A49" s="9" t="s">
        <v>1134</v>
      </c>
      <c r="B49" s="4" t="s">
        <v>111</v>
      </c>
      <c r="C49" s="4" t="s">
        <v>20</v>
      </c>
      <c r="D49" s="4">
        <v>250</v>
      </c>
      <c r="E49" s="4">
        <v>149.19999999999999</v>
      </c>
      <c r="F49" s="4">
        <v>40.299999999999997</v>
      </c>
      <c r="G49" s="4" t="s">
        <v>1123</v>
      </c>
      <c r="H49" s="4">
        <v>4.0999999999999996</v>
      </c>
      <c r="I49" s="4">
        <v>301</v>
      </c>
      <c r="J49" s="4">
        <v>77</v>
      </c>
      <c r="K49" s="6">
        <f t="shared" si="0"/>
        <v>100.80000000000001</v>
      </c>
      <c r="L49" s="6">
        <f t="shared" si="1"/>
        <v>75250</v>
      </c>
      <c r="M49" s="6" t="str">
        <f t="shared" si="2"/>
        <v>Sufficient</v>
      </c>
      <c r="N49" s="6" t="str">
        <f t="shared" si="3"/>
        <v>Excellent</v>
      </c>
      <c r="O49" s="6">
        <f t="shared" si="4"/>
        <v>30340.800000000003</v>
      </c>
      <c r="R49"/>
    </row>
    <row r="50" spans="1:18" x14ac:dyDescent="0.3">
      <c r="A50" s="8" t="s">
        <v>1135</v>
      </c>
      <c r="B50" s="2" t="s">
        <v>63</v>
      </c>
      <c r="C50" s="2" t="s">
        <v>20</v>
      </c>
      <c r="D50" s="2">
        <v>2800</v>
      </c>
      <c r="E50" s="2">
        <v>1410.65</v>
      </c>
      <c r="F50" s="2">
        <v>49.6</v>
      </c>
      <c r="G50" s="2" t="s">
        <v>1129</v>
      </c>
      <c r="H50" s="2">
        <v>3.9</v>
      </c>
      <c r="I50" s="2">
        <v>286</v>
      </c>
      <c r="J50" s="2">
        <v>36</v>
      </c>
      <c r="K50" s="6">
        <f t="shared" si="0"/>
        <v>1389.35</v>
      </c>
      <c r="L50" s="6">
        <f t="shared" si="1"/>
        <v>800800</v>
      </c>
      <c r="M50" s="6" t="str">
        <f t="shared" si="2"/>
        <v>Sufficient</v>
      </c>
      <c r="N50" s="6" t="str">
        <f t="shared" si="3"/>
        <v>Average</v>
      </c>
      <c r="O50" s="6">
        <f t="shared" si="4"/>
        <v>397354.1</v>
      </c>
      <c r="R50"/>
    </row>
    <row r="51" spans="1:18" x14ac:dyDescent="0.3">
      <c r="A51" s="9" t="s">
        <v>1136</v>
      </c>
      <c r="B51" s="4" t="s">
        <v>21</v>
      </c>
      <c r="C51" s="4" t="s">
        <v>20</v>
      </c>
      <c r="D51" s="4">
        <v>550</v>
      </c>
      <c r="E51" s="4">
        <v>328.93</v>
      </c>
      <c r="F51" s="4">
        <v>40.200000000000003</v>
      </c>
      <c r="G51" s="4" t="s">
        <v>1137</v>
      </c>
      <c r="H51" s="4">
        <v>4.5</v>
      </c>
      <c r="I51" s="4">
        <v>265</v>
      </c>
      <c r="J51" s="4">
        <v>59</v>
      </c>
      <c r="K51" s="6">
        <f t="shared" si="0"/>
        <v>221.07</v>
      </c>
      <c r="L51" s="6">
        <f t="shared" si="1"/>
        <v>145750</v>
      </c>
      <c r="M51" s="6" t="str">
        <f t="shared" si="2"/>
        <v>Sufficient</v>
      </c>
      <c r="N51" s="6" t="str">
        <f t="shared" si="3"/>
        <v>Excellent</v>
      </c>
      <c r="O51" s="6">
        <f t="shared" si="4"/>
        <v>58583.549999999996</v>
      </c>
      <c r="R51"/>
    </row>
    <row r="52" spans="1:18" x14ac:dyDescent="0.3">
      <c r="A52" s="8" t="s">
        <v>1138</v>
      </c>
      <c r="B52" s="2" t="s">
        <v>487</v>
      </c>
      <c r="C52" s="2" t="s">
        <v>28</v>
      </c>
      <c r="D52" s="2">
        <v>180</v>
      </c>
      <c r="E52" s="2">
        <v>116.91</v>
      </c>
      <c r="F52" s="2">
        <v>35.1</v>
      </c>
      <c r="G52" s="2" t="s">
        <v>1139</v>
      </c>
      <c r="H52" s="2">
        <v>4.5</v>
      </c>
      <c r="I52" s="2">
        <v>403</v>
      </c>
      <c r="J52" s="2">
        <v>80</v>
      </c>
      <c r="K52" s="6">
        <f t="shared" si="0"/>
        <v>63.09</v>
      </c>
      <c r="L52" s="6">
        <f t="shared" si="1"/>
        <v>72540</v>
      </c>
      <c r="M52" s="6" t="str">
        <f t="shared" si="2"/>
        <v>Sufficient</v>
      </c>
      <c r="N52" s="6" t="str">
        <f t="shared" si="3"/>
        <v>Excellent</v>
      </c>
      <c r="O52" s="6">
        <f t="shared" si="4"/>
        <v>25425.27</v>
      </c>
      <c r="R52"/>
    </row>
    <row r="53" spans="1:18" x14ac:dyDescent="0.3">
      <c r="A53" s="9" t="s">
        <v>1140</v>
      </c>
      <c r="B53" s="4" t="s">
        <v>300</v>
      </c>
      <c r="C53" s="4" t="s">
        <v>28</v>
      </c>
      <c r="D53" s="4">
        <v>320</v>
      </c>
      <c r="E53" s="4">
        <v>203.85</v>
      </c>
      <c r="F53" s="4">
        <v>36.299999999999997</v>
      </c>
      <c r="G53" s="4" t="s">
        <v>1141</v>
      </c>
      <c r="H53" s="4">
        <v>4.5</v>
      </c>
      <c r="I53" s="4">
        <v>251</v>
      </c>
      <c r="J53" s="4">
        <v>24</v>
      </c>
      <c r="K53" s="6">
        <f t="shared" si="0"/>
        <v>116.15</v>
      </c>
      <c r="L53" s="6">
        <f t="shared" si="1"/>
        <v>80320</v>
      </c>
      <c r="M53" s="6" t="str">
        <f t="shared" si="2"/>
        <v>Sufficient</v>
      </c>
      <c r="N53" s="6" t="str">
        <f t="shared" si="3"/>
        <v>Excellent</v>
      </c>
      <c r="O53" s="6">
        <f t="shared" si="4"/>
        <v>29153.65</v>
      </c>
      <c r="R53"/>
    </row>
    <row r="54" spans="1:18" x14ac:dyDescent="0.3">
      <c r="A54" s="8" t="s">
        <v>1142</v>
      </c>
      <c r="B54" s="2" t="s">
        <v>98</v>
      </c>
      <c r="C54" s="2" t="s">
        <v>28</v>
      </c>
      <c r="D54" s="2">
        <v>220</v>
      </c>
      <c r="E54" s="2">
        <v>113.47</v>
      </c>
      <c r="F54" s="2">
        <v>48.4</v>
      </c>
      <c r="G54" s="2" t="s">
        <v>1143</v>
      </c>
      <c r="H54" s="2">
        <v>4.3</v>
      </c>
      <c r="I54" s="2">
        <v>171</v>
      </c>
      <c r="J54" s="2">
        <v>50</v>
      </c>
      <c r="K54" s="6">
        <f t="shared" si="0"/>
        <v>106.53</v>
      </c>
      <c r="L54" s="6">
        <f t="shared" si="1"/>
        <v>37620</v>
      </c>
      <c r="M54" s="6" t="str">
        <f t="shared" si="2"/>
        <v>Sufficient</v>
      </c>
      <c r="N54" s="6" t="str">
        <f t="shared" si="3"/>
        <v>Excellent</v>
      </c>
      <c r="O54" s="6">
        <f t="shared" si="4"/>
        <v>18216.63</v>
      </c>
      <c r="R54"/>
    </row>
    <row r="55" spans="1:18" x14ac:dyDescent="0.3">
      <c r="A55" s="9" t="s">
        <v>1144</v>
      </c>
      <c r="B55" s="4" t="s">
        <v>322</v>
      </c>
      <c r="C55" s="4" t="s">
        <v>28</v>
      </c>
      <c r="D55" s="4">
        <v>140</v>
      </c>
      <c r="E55" s="4">
        <v>96.67</v>
      </c>
      <c r="F55" s="4">
        <v>30.9</v>
      </c>
      <c r="G55" s="4" t="s">
        <v>1145</v>
      </c>
      <c r="H55" s="4">
        <v>3.7</v>
      </c>
      <c r="I55" s="4">
        <v>146</v>
      </c>
      <c r="J55" s="4">
        <v>38</v>
      </c>
      <c r="K55" s="6">
        <f t="shared" si="0"/>
        <v>43.33</v>
      </c>
      <c r="L55" s="6">
        <f t="shared" si="1"/>
        <v>20440</v>
      </c>
      <c r="M55" s="6" t="str">
        <f t="shared" si="2"/>
        <v>Sufficient</v>
      </c>
      <c r="N55" s="6" t="str">
        <f t="shared" si="3"/>
        <v>Average</v>
      </c>
      <c r="O55" s="6">
        <f t="shared" si="4"/>
        <v>6326.1799999999994</v>
      </c>
      <c r="R55"/>
    </row>
    <row r="56" spans="1:18" x14ac:dyDescent="0.3">
      <c r="A56" s="8" t="s">
        <v>1146</v>
      </c>
      <c r="B56" s="2" t="s">
        <v>167</v>
      </c>
      <c r="C56" s="2" t="s">
        <v>28</v>
      </c>
      <c r="D56" s="2">
        <v>280</v>
      </c>
      <c r="E56" s="2">
        <v>193.21</v>
      </c>
      <c r="F56" s="2">
        <v>31</v>
      </c>
      <c r="G56" s="2" t="s">
        <v>1143</v>
      </c>
      <c r="H56" s="2">
        <v>4.5999999999999996</v>
      </c>
      <c r="I56" s="2">
        <v>55</v>
      </c>
      <c r="J56" s="2">
        <v>47</v>
      </c>
      <c r="K56" s="6">
        <f t="shared" si="0"/>
        <v>86.789999999999992</v>
      </c>
      <c r="L56" s="6">
        <f t="shared" si="1"/>
        <v>15400</v>
      </c>
      <c r="M56" s="6" t="str">
        <f t="shared" si="2"/>
        <v>Sufficient</v>
      </c>
      <c r="N56" s="6" t="str">
        <f t="shared" si="3"/>
        <v>Excellent</v>
      </c>
      <c r="O56" s="6">
        <f t="shared" si="4"/>
        <v>4773.45</v>
      </c>
      <c r="R56"/>
    </row>
    <row r="57" spans="1:18" x14ac:dyDescent="0.3">
      <c r="A57" s="9" t="s">
        <v>1147</v>
      </c>
      <c r="B57" s="4" t="s">
        <v>392</v>
      </c>
      <c r="C57" s="4" t="s">
        <v>28</v>
      </c>
      <c r="D57" s="4">
        <v>650</v>
      </c>
      <c r="E57" s="4">
        <v>348.26</v>
      </c>
      <c r="F57" s="4">
        <v>46.4</v>
      </c>
      <c r="G57" s="4" t="s">
        <v>1148</v>
      </c>
      <c r="H57" s="4">
        <v>4.7</v>
      </c>
      <c r="I57" s="4">
        <v>481</v>
      </c>
      <c r="J57" s="4">
        <v>65</v>
      </c>
      <c r="K57" s="6">
        <f t="shared" si="0"/>
        <v>301.74</v>
      </c>
      <c r="L57" s="6">
        <f t="shared" si="1"/>
        <v>312650</v>
      </c>
      <c r="M57" s="6" t="str">
        <f t="shared" si="2"/>
        <v>Sufficient</v>
      </c>
      <c r="N57" s="6" t="str">
        <f t="shared" si="3"/>
        <v>Excellent</v>
      </c>
      <c r="O57" s="6">
        <f t="shared" si="4"/>
        <v>145136.94</v>
      </c>
      <c r="R57"/>
    </row>
    <row r="58" spans="1:18" x14ac:dyDescent="0.3">
      <c r="A58" s="8" t="s">
        <v>1149</v>
      </c>
      <c r="B58" s="2" t="s">
        <v>249</v>
      </c>
      <c r="C58" s="2" t="s">
        <v>28</v>
      </c>
      <c r="D58" s="2">
        <v>890</v>
      </c>
      <c r="E58" s="2">
        <v>556.42999999999995</v>
      </c>
      <c r="F58" s="2">
        <v>37.5</v>
      </c>
      <c r="G58" s="2" t="s">
        <v>1143</v>
      </c>
      <c r="H58" s="2">
        <v>4.2</v>
      </c>
      <c r="I58" s="2">
        <v>289</v>
      </c>
      <c r="J58" s="2">
        <v>60</v>
      </c>
      <c r="K58" s="6">
        <f t="shared" si="0"/>
        <v>333.57000000000005</v>
      </c>
      <c r="L58" s="6">
        <f t="shared" si="1"/>
        <v>257210</v>
      </c>
      <c r="M58" s="6" t="str">
        <f t="shared" si="2"/>
        <v>Sufficient</v>
      </c>
      <c r="N58" s="6" t="str">
        <f t="shared" si="3"/>
        <v>Excellent</v>
      </c>
      <c r="O58" s="6">
        <f t="shared" si="4"/>
        <v>96401.73000000001</v>
      </c>
      <c r="R58"/>
    </row>
    <row r="59" spans="1:18" x14ac:dyDescent="0.3">
      <c r="A59" s="9" t="s">
        <v>1150</v>
      </c>
      <c r="B59" s="4" t="s">
        <v>306</v>
      </c>
      <c r="C59" s="4" t="s">
        <v>28</v>
      </c>
      <c r="D59" s="4">
        <v>260</v>
      </c>
      <c r="E59" s="4">
        <v>151.97</v>
      </c>
      <c r="F59" s="4">
        <v>41.5</v>
      </c>
      <c r="G59" s="4" t="s">
        <v>1151</v>
      </c>
      <c r="H59" s="4">
        <v>3.3</v>
      </c>
      <c r="I59" s="4">
        <v>353</v>
      </c>
      <c r="J59" s="4">
        <v>35</v>
      </c>
      <c r="K59" s="6">
        <f t="shared" si="0"/>
        <v>108.03</v>
      </c>
      <c r="L59" s="6">
        <f t="shared" si="1"/>
        <v>91780</v>
      </c>
      <c r="M59" s="6" t="str">
        <f t="shared" si="2"/>
        <v>Sufficient</v>
      </c>
      <c r="N59" s="6" t="str">
        <f t="shared" si="3"/>
        <v>Average</v>
      </c>
      <c r="O59" s="6">
        <f t="shared" si="4"/>
        <v>38134.590000000004</v>
      </c>
      <c r="R59"/>
    </row>
    <row r="60" spans="1:18" x14ac:dyDescent="0.3">
      <c r="A60" s="8" t="s">
        <v>1152</v>
      </c>
      <c r="B60" s="2" t="s">
        <v>29</v>
      </c>
      <c r="C60" s="2" t="s">
        <v>28</v>
      </c>
      <c r="D60" s="2">
        <v>1200</v>
      </c>
      <c r="E60" s="2">
        <v>749.87</v>
      </c>
      <c r="F60" s="2">
        <v>37.5</v>
      </c>
      <c r="G60" s="2" t="s">
        <v>1141</v>
      </c>
      <c r="H60" s="2">
        <v>3.5</v>
      </c>
      <c r="I60" s="2">
        <v>85</v>
      </c>
      <c r="J60" s="2">
        <v>57</v>
      </c>
      <c r="K60" s="6">
        <f t="shared" si="0"/>
        <v>450.13</v>
      </c>
      <c r="L60" s="6">
        <f t="shared" si="1"/>
        <v>102000</v>
      </c>
      <c r="M60" s="6" t="str">
        <f t="shared" si="2"/>
        <v>Sufficient</v>
      </c>
      <c r="N60" s="6" t="str">
        <f t="shared" si="3"/>
        <v>Average</v>
      </c>
      <c r="O60" s="6">
        <f t="shared" si="4"/>
        <v>38261.050000000003</v>
      </c>
      <c r="R60"/>
    </row>
    <row r="61" spans="1:18" x14ac:dyDescent="0.3">
      <c r="A61" s="9" t="s">
        <v>1153</v>
      </c>
      <c r="B61" s="4" t="s">
        <v>129</v>
      </c>
      <c r="C61" s="4" t="s">
        <v>28</v>
      </c>
      <c r="D61" s="4">
        <v>380</v>
      </c>
      <c r="E61" s="4">
        <v>226.56</v>
      </c>
      <c r="F61" s="4">
        <v>40.4</v>
      </c>
      <c r="G61" s="4" t="s">
        <v>1143</v>
      </c>
      <c r="H61" s="4">
        <v>3.7</v>
      </c>
      <c r="I61" s="4">
        <v>316</v>
      </c>
      <c r="J61" s="4">
        <v>71</v>
      </c>
      <c r="K61" s="6">
        <f t="shared" si="0"/>
        <v>153.44</v>
      </c>
      <c r="L61" s="6">
        <f t="shared" si="1"/>
        <v>120080</v>
      </c>
      <c r="M61" s="6" t="str">
        <f t="shared" si="2"/>
        <v>Sufficient</v>
      </c>
      <c r="N61" s="6" t="str">
        <f t="shared" si="3"/>
        <v>Average</v>
      </c>
      <c r="O61" s="6">
        <f t="shared" si="4"/>
        <v>48487.040000000001</v>
      </c>
      <c r="R61"/>
    </row>
    <row r="62" spans="1:18" x14ac:dyDescent="0.3">
      <c r="A62" s="8" t="s">
        <v>1154</v>
      </c>
      <c r="B62" s="2" t="s">
        <v>342</v>
      </c>
      <c r="C62" s="2" t="s">
        <v>149</v>
      </c>
      <c r="D62" s="2">
        <v>599</v>
      </c>
      <c r="E62" s="2">
        <v>424.44</v>
      </c>
      <c r="F62" s="2">
        <v>29.1</v>
      </c>
      <c r="G62" s="2" t="s">
        <v>1155</v>
      </c>
      <c r="H62" s="2">
        <v>4.5999999999999996</v>
      </c>
      <c r="I62" s="2">
        <v>22</v>
      </c>
      <c r="J62" s="2">
        <v>56</v>
      </c>
      <c r="K62" s="6">
        <f t="shared" si="0"/>
        <v>174.56</v>
      </c>
      <c r="L62" s="6">
        <f t="shared" si="1"/>
        <v>13178</v>
      </c>
      <c r="M62" s="6" t="str">
        <f t="shared" si="2"/>
        <v>Reorderd Needed</v>
      </c>
      <c r="N62" s="6" t="str">
        <f t="shared" si="3"/>
        <v>Excellent</v>
      </c>
      <c r="O62" s="6">
        <f t="shared" si="4"/>
        <v>3840.32</v>
      </c>
      <c r="R62"/>
    </row>
    <row r="63" spans="1:18" x14ac:dyDescent="0.3">
      <c r="A63" s="9" t="s">
        <v>1156</v>
      </c>
      <c r="B63" s="4" t="s">
        <v>446</v>
      </c>
      <c r="C63" s="4" t="s">
        <v>149</v>
      </c>
      <c r="D63" s="4">
        <v>449</v>
      </c>
      <c r="E63" s="4">
        <v>259.20999999999998</v>
      </c>
      <c r="F63" s="4">
        <v>42.3</v>
      </c>
      <c r="G63" s="4" t="s">
        <v>1157</v>
      </c>
      <c r="H63" s="4">
        <v>4.7</v>
      </c>
      <c r="I63" s="4">
        <v>137</v>
      </c>
      <c r="J63" s="4">
        <v>48</v>
      </c>
      <c r="K63" s="6">
        <f t="shared" si="0"/>
        <v>189.79000000000002</v>
      </c>
      <c r="L63" s="6">
        <f t="shared" si="1"/>
        <v>61513</v>
      </c>
      <c r="M63" s="6" t="str">
        <f t="shared" si="2"/>
        <v>Sufficient</v>
      </c>
      <c r="N63" s="6" t="str">
        <f t="shared" si="3"/>
        <v>Excellent</v>
      </c>
      <c r="O63" s="6">
        <f t="shared" si="4"/>
        <v>26001.230000000003</v>
      </c>
      <c r="R63"/>
    </row>
    <row r="64" spans="1:18" x14ac:dyDescent="0.3">
      <c r="A64" s="8" t="s">
        <v>1158</v>
      </c>
      <c r="B64" s="2" t="s">
        <v>150</v>
      </c>
      <c r="C64" s="2" t="s">
        <v>149</v>
      </c>
      <c r="D64" s="2">
        <v>520</v>
      </c>
      <c r="E64" s="2">
        <v>320.26</v>
      </c>
      <c r="F64" s="2">
        <v>38.4</v>
      </c>
      <c r="G64" s="2" t="s">
        <v>1159</v>
      </c>
      <c r="H64" s="2">
        <v>4.3</v>
      </c>
      <c r="I64" s="2">
        <v>253</v>
      </c>
      <c r="J64" s="2">
        <v>68</v>
      </c>
      <c r="K64" s="6">
        <f t="shared" si="0"/>
        <v>199.74</v>
      </c>
      <c r="L64" s="6">
        <f t="shared" si="1"/>
        <v>131560</v>
      </c>
      <c r="M64" s="6" t="str">
        <f t="shared" si="2"/>
        <v>Sufficient</v>
      </c>
      <c r="N64" s="6" t="str">
        <f t="shared" si="3"/>
        <v>Excellent</v>
      </c>
      <c r="O64" s="6">
        <f t="shared" si="4"/>
        <v>50534.22</v>
      </c>
      <c r="R64"/>
    </row>
    <row r="65" spans="1:18" x14ac:dyDescent="0.3">
      <c r="A65" s="9" t="s">
        <v>1160</v>
      </c>
      <c r="B65" s="4" t="s">
        <v>463</v>
      </c>
      <c r="C65" s="4" t="s">
        <v>149</v>
      </c>
      <c r="D65" s="4">
        <v>380</v>
      </c>
      <c r="E65" s="4">
        <v>210.32</v>
      </c>
      <c r="F65" s="4">
        <v>44.7</v>
      </c>
      <c r="G65" s="4" t="s">
        <v>1161</v>
      </c>
      <c r="H65" s="4">
        <v>4.5</v>
      </c>
      <c r="I65" s="4">
        <v>129</v>
      </c>
      <c r="J65" s="4">
        <v>35</v>
      </c>
      <c r="K65" s="6">
        <f t="shared" si="0"/>
        <v>169.68</v>
      </c>
      <c r="L65" s="6">
        <f t="shared" si="1"/>
        <v>49020</v>
      </c>
      <c r="M65" s="6" t="str">
        <f t="shared" si="2"/>
        <v>Sufficient</v>
      </c>
      <c r="N65" s="6" t="str">
        <f t="shared" si="3"/>
        <v>Excellent</v>
      </c>
      <c r="O65" s="6">
        <f t="shared" si="4"/>
        <v>21888.720000000001</v>
      </c>
      <c r="R65"/>
    </row>
    <row r="66" spans="1:18" x14ac:dyDescent="0.3">
      <c r="A66" s="8" t="s">
        <v>1162</v>
      </c>
      <c r="B66" s="2" t="s">
        <v>226</v>
      </c>
      <c r="C66" s="2" t="s">
        <v>149</v>
      </c>
      <c r="D66" s="2">
        <v>350</v>
      </c>
      <c r="E66" s="2">
        <v>199.41</v>
      </c>
      <c r="F66" s="2">
        <v>43</v>
      </c>
      <c r="G66" s="2" t="s">
        <v>1155</v>
      </c>
      <c r="H66" s="2">
        <v>3.2</v>
      </c>
      <c r="I66" s="2">
        <v>374</v>
      </c>
      <c r="J66" s="2">
        <v>69</v>
      </c>
      <c r="K66" s="6">
        <f t="shared" si="0"/>
        <v>150.59</v>
      </c>
      <c r="L66" s="6">
        <f t="shared" si="1"/>
        <v>130900</v>
      </c>
      <c r="M66" s="6" t="str">
        <f t="shared" si="2"/>
        <v>Sufficient</v>
      </c>
      <c r="N66" s="6" t="str">
        <f t="shared" si="3"/>
        <v>Average</v>
      </c>
      <c r="O66" s="6">
        <f t="shared" si="4"/>
        <v>56320.66</v>
      </c>
      <c r="R66"/>
    </row>
    <row r="67" spans="1:18" x14ac:dyDescent="0.3">
      <c r="A67" s="9" t="s">
        <v>1163</v>
      </c>
      <c r="B67" s="4" t="s">
        <v>256</v>
      </c>
      <c r="C67" s="4" t="s">
        <v>149</v>
      </c>
      <c r="D67" s="4">
        <v>220</v>
      </c>
      <c r="E67" s="4">
        <v>113.39</v>
      </c>
      <c r="F67" s="4">
        <v>48.5</v>
      </c>
      <c r="G67" s="4" t="s">
        <v>1164</v>
      </c>
      <c r="H67" s="4">
        <v>3.8</v>
      </c>
      <c r="I67" s="4">
        <v>446</v>
      </c>
      <c r="J67" s="4">
        <v>25</v>
      </c>
      <c r="K67" s="6">
        <f t="shared" ref="K67:K81" si="5">D67-E67</f>
        <v>106.61</v>
      </c>
      <c r="L67" s="6">
        <f t="shared" ref="L67:L81" si="6">D67*I67</f>
        <v>98120</v>
      </c>
      <c r="M67" s="6" t="str">
        <f t="shared" ref="M67:M81" si="7">IF(I67&lt;=J67,"Reorderd Needed","Sufficient")</f>
        <v>Sufficient</v>
      </c>
      <c r="N67" s="6" t="str">
        <f t="shared" ref="N67:N81" si="8">IF(H67&gt;=4,"Excellent","Average")</f>
        <v>Average</v>
      </c>
      <c r="O67" s="6">
        <f t="shared" ref="O67:O81" si="9">(D67-E67)*I67</f>
        <v>47548.06</v>
      </c>
      <c r="R67"/>
    </row>
    <row r="68" spans="1:18" x14ac:dyDescent="0.3">
      <c r="A68" s="8" t="s">
        <v>1165</v>
      </c>
      <c r="B68" s="2" t="s">
        <v>457</v>
      </c>
      <c r="C68" s="2" t="s">
        <v>149</v>
      </c>
      <c r="D68" s="2">
        <v>85</v>
      </c>
      <c r="E68" s="2">
        <v>48.91</v>
      </c>
      <c r="F68" s="2">
        <v>42.5</v>
      </c>
      <c r="G68" s="2" t="s">
        <v>1166</v>
      </c>
      <c r="H68" s="2">
        <v>3.4</v>
      </c>
      <c r="I68" s="2">
        <v>63</v>
      </c>
      <c r="J68" s="2">
        <v>37</v>
      </c>
      <c r="K68" s="6">
        <f t="shared" si="5"/>
        <v>36.090000000000003</v>
      </c>
      <c r="L68" s="6">
        <f t="shared" si="6"/>
        <v>5355</v>
      </c>
      <c r="M68" s="6" t="str">
        <f t="shared" si="7"/>
        <v>Sufficient</v>
      </c>
      <c r="N68" s="6" t="str">
        <f t="shared" si="8"/>
        <v>Average</v>
      </c>
      <c r="O68" s="6">
        <f t="shared" si="9"/>
        <v>2273.67</v>
      </c>
      <c r="R68"/>
    </row>
    <row r="69" spans="1:18" x14ac:dyDescent="0.3">
      <c r="A69" s="9" t="s">
        <v>1167</v>
      </c>
      <c r="B69" s="4" t="s">
        <v>334</v>
      </c>
      <c r="C69" s="4" t="s">
        <v>149</v>
      </c>
      <c r="D69" s="4">
        <v>750</v>
      </c>
      <c r="E69" s="4">
        <v>472.76</v>
      </c>
      <c r="F69" s="4">
        <v>37</v>
      </c>
      <c r="G69" s="4" t="s">
        <v>1159</v>
      </c>
      <c r="H69" s="4">
        <v>3.5</v>
      </c>
      <c r="I69" s="4">
        <v>412</v>
      </c>
      <c r="J69" s="4">
        <v>61</v>
      </c>
      <c r="K69" s="6">
        <f t="shared" si="5"/>
        <v>277.24</v>
      </c>
      <c r="L69" s="6">
        <f t="shared" si="6"/>
        <v>309000</v>
      </c>
      <c r="M69" s="6" t="str">
        <f t="shared" si="7"/>
        <v>Sufficient</v>
      </c>
      <c r="N69" s="6" t="str">
        <f t="shared" si="8"/>
        <v>Average</v>
      </c>
      <c r="O69" s="6">
        <f t="shared" si="9"/>
        <v>114222.88</v>
      </c>
      <c r="R69"/>
    </row>
    <row r="70" spans="1:18" x14ac:dyDescent="0.3">
      <c r="A70" s="8" t="s">
        <v>1168</v>
      </c>
      <c r="B70" s="2" t="s">
        <v>281</v>
      </c>
      <c r="C70" s="2" t="s">
        <v>149</v>
      </c>
      <c r="D70" s="2">
        <v>120</v>
      </c>
      <c r="E70" s="2">
        <v>65.88</v>
      </c>
      <c r="F70" s="2">
        <v>45.1</v>
      </c>
      <c r="G70" s="2" t="s">
        <v>1157</v>
      </c>
      <c r="H70" s="2">
        <v>4.5999999999999996</v>
      </c>
      <c r="I70" s="2">
        <v>423</v>
      </c>
      <c r="J70" s="2">
        <v>35</v>
      </c>
      <c r="K70" s="6">
        <f t="shared" si="5"/>
        <v>54.120000000000005</v>
      </c>
      <c r="L70" s="6">
        <f t="shared" si="6"/>
        <v>50760</v>
      </c>
      <c r="M70" s="6" t="str">
        <f t="shared" si="7"/>
        <v>Sufficient</v>
      </c>
      <c r="N70" s="6" t="str">
        <f t="shared" si="8"/>
        <v>Excellent</v>
      </c>
      <c r="O70" s="6">
        <f t="shared" si="9"/>
        <v>22892.760000000002</v>
      </c>
      <c r="R70"/>
    </row>
    <row r="71" spans="1:18" x14ac:dyDescent="0.3">
      <c r="A71" s="9" t="s">
        <v>1169</v>
      </c>
      <c r="B71" s="4" t="s">
        <v>182</v>
      </c>
      <c r="C71" s="4" t="s">
        <v>149</v>
      </c>
      <c r="D71" s="4">
        <v>180</v>
      </c>
      <c r="E71" s="4">
        <v>114.74</v>
      </c>
      <c r="F71" s="4">
        <v>36.299999999999997</v>
      </c>
      <c r="G71" s="4" t="s">
        <v>1166</v>
      </c>
      <c r="H71" s="4">
        <v>3.4</v>
      </c>
      <c r="I71" s="4">
        <v>111</v>
      </c>
      <c r="J71" s="4">
        <v>61</v>
      </c>
      <c r="K71" s="6">
        <f t="shared" si="5"/>
        <v>65.260000000000005</v>
      </c>
      <c r="L71" s="6">
        <f t="shared" si="6"/>
        <v>19980</v>
      </c>
      <c r="M71" s="6" t="str">
        <f t="shared" si="7"/>
        <v>Sufficient</v>
      </c>
      <c r="N71" s="6" t="str">
        <f t="shared" si="8"/>
        <v>Average</v>
      </c>
      <c r="O71" s="6">
        <f t="shared" si="9"/>
        <v>7243.8600000000006</v>
      </c>
      <c r="R71"/>
    </row>
    <row r="72" spans="1:18" x14ac:dyDescent="0.3">
      <c r="A72" s="8" t="s">
        <v>1170</v>
      </c>
      <c r="B72" s="2" t="s">
        <v>285</v>
      </c>
      <c r="C72" s="2" t="s">
        <v>47</v>
      </c>
      <c r="D72" s="2">
        <v>1800</v>
      </c>
      <c r="E72" s="2">
        <v>1185.4000000000001</v>
      </c>
      <c r="F72" s="2">
        <v>34.1</v>
      </c>
      <c r="G72" s="2" t="s">
        <v>1171</v>
      </c>
      <c r="H72" s="2">
        <v>3.5</v>
      </c>
      <c r="I72" s="2">
        <v>227</v>
      </c>
      <c r="J72" s="2">
        <v>30</v>
      </c>
      <c r="K72" s="6">
        <f t="shared" si="5"/>
        <v>614.59999999999991</v>
      </c>
      <c r="L72" s="6">
        <f t="shared" si="6"/>
        <v>408600</v>
      </c>
      <c r="M72" s="6" t="str">
        <f t="shared" si="7"/>
        <v>Sufficient</v>
      </c>
      <c r="N72" s="6" t="str">
        <f t="shared" si="8"/>
        <v>Average</v>
      </c>
      <c r="O72" s="6">
        <f t="shared" si="9"/>
        <v>139514.19999999998</v>
      </c>
      <c r="R72"/>
    </row>
    <row r="73" spans="1:18" x14ac:dyDescent="0.3">
      <c r="A73" s="9" t="s">
        <v>1172</v>
      </c>
      <c r="B73" s="4" t="s">
        <v>217</v>
      </c>
      <c r="C73" s="4" t="s">
        <v>47</v>
      </c>
      <c r="D73" s="4">
        <v>1200</v>
      </c>
      <c r="E73" s="4">
        <v>721.11</v>
      </c>
      <c r="F73" s="4">
        <v>39.9</v>
      </c>
      <c r="G73" s="4" t="s">
        <v>1173</v>
      </c>
      <c r="H73" s="4">
        <v>4</v>
      </c>
      <c r="I73" s="4">
        <v>98</v>
      </c>
      <c r="J73" s="4">
        <v>21</v>
      </c>
      <c r="K73" s="6">
        <f t="shared" si="5"/>
        <v>478.89</v>
      </c>
      <c r="L73" s="6">
        <f t="shared" si="6"/>
        <v>117600</v>
      </c>
      <c r="M73" s="6" t="str">
        <f t="shared" si="7"/>
        <v>Sufficient</v>
      </c>
      <c r="N73" s="6" t="str">
        <f t="shared" si="8"/>
        <v>Excellent</v>
      </c>
      <c r="O73" s="6">
        <f t="shared" si="9"/>
        <v>46931.22</v>
      </c>
      <c r="R73"/>
    </row>
    <row r="74" spans="1:18" x14ac:dyDescent="0.3">
      <c r="A74" s="8" t="s">
        <v>1174</v>
      </c>
      <c r="B74" s="2" t="s">
        <v>379</v>
      </c>
      <c r="C74" s="2" t="s">
        <v>47</v>
      </c>
      <c r="D74" s="2">
        <v>950</v>
      </c>
      <c r="E74" s="2">
        <v>594.29999999999995</v>
      </c>
      <c r="F74" s="2">
        <v>37.4</v>
      </c>
      <c r="G74" s="2" t="s">
        <v>1175</v>
      </c>
      <c r="H74" s="2">
        <v>3.5</v>
      </c>
      <c r="I74" s="2">
        <v>340</v>
      </c>
      <c r="J74" s="2">
        <v>34</v>
      </c>
      <c r="K74" s="6">
        <f t="shared" si="5"/>
        <v>355.70000000000005</v>
      </c>
      <c r="L74" s="6">
        <f t="shared" si="6"/>
        <v>323000</v>
      </c>
      <c r="M74" s="6" t="str">
        <f t="shared" si="7"/>
        <v>Sufficient</v>
      </c>
      <c r="N74" s="6" t="str">
        <f t="shared" si="8"/>
        <v>Average</v>
      </c>
      <c r="O74" s="6">
        <f t="shared" si="9"/>
        <v>120938.00000000001</v>
      </c>
      <c r="R74"/>
    </row>
    <row r="75" spans="1:18" x14ac:dyDescent="0.3">
      <c r="A75" s="9" t="s">
        <v>1176</v>
      </c>
      <c r="B75" s="4" t="s">
        <v>209</v>
      </c>
      <c r="C75" s="4" t="s">
        <v>47</v>
      </c>
      <c r="D75" s="4">
        <v>450</v>
      </c>
      <c r="E75" s="4">
        <v>294.85000000000002</v>
      </c>
      <c r="F75" s="4">
        <v>34.5</v>
      </c>
      <c r="G75" s="4" t="s">
        <v>1177</v>
      </c>
      <c r="H75" s="4">
        <v>3.9</v>
      </c>
      <c r="I75" s="4">
        <v>440</v>
      </c>
      <c r="J75" s="4">
        <v>54</v>
      </c>
      <c r="K75" s="6">
        <f t="shared" si="5"/>
        <v>155.14999999999998</v>
      </c>
      <c r="L75" s="6">
        <f t="shared" si="6"/>
        <v>198000</v>
      </c>
      <c r="M75" s="6" t="str">
        <f t="shared" si="7"/>
        <v>Sufficient</v>
      </c>
      <c r="N75" s="6" t="str">
        <f t="shared" si="8"/>
        <v>Average</v>
      </c>
      <c r="O75" s="6">
        <f t="shared" si="9"/>
        <v>68265.999999999985</v>
      </c>
      <c r="R75"/>
    </row>
    <row r="76" spans="1:18" x14ac:dyDescent="0.3">
      <c r="A76" s="8" t="s">
        <v>1178</v>
      </c>
      <c r="B76" s="2" t="s">
        <v>424</v>
      </c>
      <c r="C76" s="2" t="s">
        <v>47</v>
      </c>
      <c r="D76" s="2">
        <v>800</v>
      </c>
      <c r="E76" s="2">
        <v>518.79999999999995</v>
      </c>
      <c r="F76" s="2">
        <v>35.200000000000003</v>
      </c>
      <c r="G76" s="2" t="s">
        <v>1173</v>
      </c>
      <c r="H76" s="2">
        <v>4.2</v>
      </c>
      <c r="I76" s="2">
        <v>58</v>
      </c>
      <c r="J76" s="2">
        <v>66</v>
      </c>
      <c r="K76" s="6">
        <f t="shared" si="5"/>
        <v>281.20000000000005</v>
      </c>
      <c r="L76" s="6">
        <f t="shared" si="6"/>
        <v>46400</v>
      </c>
      <c r="M76" s="6" t="str">
        <f t="shared" si="7"/>
        <v>Reorderd Needed</v>
      </c>
      <c r="N76" s="6" t="str">
        <f t="shared" si="8"/>
        <v>Excellent</v>
      </c>
      <c r="O76" s="6">
        <f t="shared" si="9"/>
        <v>16309.600000000002</v>
      </c>
      <c r="R76"/>
    </row>
    <row r="77" spans="1:18" x14ac:dyDescent="0.3">
      <c r="A77" s="9" t="s">
        <v>1179</v>
      </c>
      <c r="B77" s="4" t="s">
        <v>102</v>
      </c>
      <c r="C77" s="4" t="s">
        <v>47</v>
      </c>
      <c r="D77" s="4">
        <v>2200</v>
      </c>
      <c r="E77" s="4">
        <v>1240.57</v>
      </c>
      <c r="F77" s="4">
        <v>43.6</v>
      </c>
      <c r="G77" s="4" t="s">
        <v>1180</v>
      </c>
      <c r="H77" s="4">
        <v>4</v>
      </c>
      <c r="I77" s="4">
        <v>456</v>
      </c>
      <c r="J77" s="4">
        <v>37</v>
      </c>
      <c r="K77" s="6">
        <f t="shared" si="5"/>
        <v>959.43000000000006</v>
      </c>
      <c r="L77" s="6">
        <f t="shared" si="6"/>
        <v>1003200</v>
      </c>
      <c r="M77" s="6" t="str">
        <f t="shared" si="7"/>
        <v>Sufficient</v>
      </c>
      <c r="N77" s="6" t="str">
        <f t="shared" si="8"/>
        <v>Excellent</v>
      </c>
      <c r="O77" s="6">
        <f t="shared" si="9"/>
        <v>437500.08</v>
      </c>
      <c r="R77"/>
    </row>
    <row r="78" spans="1:18" x14ac:dyDescent="0.3">
      <c r="A78" s="8" t="s">
        <v>1181</v>
      </c>
      <c r="B78" s="2" t="s">
        <v>443</v>
      </c>
      <c r="C78" s="2" t="s">
        <v>47</v>
      </c>
      <c r="D78" s="2">
        <v>350</v>
      </c>
      <c r="E78" s="2">
        <v>241.23</v>
      </c>
      <c r="F78" s="2">
        <v>31.1</v>
      </c>
      <c r="G78" s="2" t="s">
        <v>1180</v>
      </c>
      <c r="H78" s="2">
        <v>3.3</v>
      </c>
      <c r="I78" s="2">
        <v>409</v>
      </c>
      <c r="J78" s="2">
        <v>77</v>
      </c>
      <c r="K78" s="6">
        <f t="shared" si="5"/>
        <v>108.77000000000001</v>
      </c>
      <c r="L78" s="6">
        <f t="shared" si="6"/>
        <v>143150</v>
      </c>
      <c r="M78" s="6" t="str">
        <f t="shared" si="7"/>
        <v>Sufficient</v>
      </c>
      <c r="N78" s="6" t="str">
        <f t="shared" si="8"/>
        <v>Average</v>
      </c>
      <c r="O78" s="6">
        <f t="shared" si="9"/>
        <v>44486.930000000008</v>
      </c>
      <c r="R78"/>
    </row>
    <row r="79" spans="1:18" x14ac:dyDescent="0.3">
      <c r="A79" s="9" t="s">
        <v>1182</v>
      </c>
      <c r="B79" s="4" t="s">
        <v>138</v>
      </c>
      <c r="C79" s="4" t="s">
        <v>47</v>
      </c>
      <c r="D79" s="4">
        <v>280</v>
      </c>
      <c r="E79" s="4">
        <v>186.99</v>
      </c>
      <c r="F79" s="4">
        <v>33.200000000000003</v>
      </c>
      <c r="G79" s="4" t="s">
        <v>1175</v>
      </c>
      <c r="H79" s="4">
        <v>3.4</v>
      </c>
      <c r="I79" s="4">
        <v>433</v>
      </c>
      <c r="J79" s="4">
        <v>72</v>
      </c>
      <c r="K79" s="6">
        <f t="shared" si="5"/>
        <v>93.009999999999991</v>
      </c>
      <c r="L79" s="6">
        <f t="shared" si="6"/>
        <v>121240</v>
      </c>
      <c r="M79" s="6" t="str">
        <f t="shared" si="7"/>
        <v>Sufficient</v>
      </c>
      <c r="N79" s="6" t="str">
        <f t="shared" si="8"/>
        <v>Average</v>
      </c>
      <c r="O79" s="6">
        <f t="shared" si="9"/>
        <v>40273.329999999994</v>
      </c>
      <c r="R79"/>
    </row>
    <row r="80" spans="1:18" x14ac:dyDescent="0.3">
      <c r="A80" s="8" t="s">
        <v>1183</v>
      </c>
      <c r="B80" s="2" t="s">
        <v>96</v>
      </c>
      <c r="C80" s="2" t="s">
        <v>47</v>
      </c>
      <c r="D80" s="2">
        <v>380</v>
      </c>
      <c r="E80" s="2">
        <v>240.1</v>
      </c>
      <c r="F80" s="2">
        <v>36.799999999999997</v>
      </c>
      <c r="G80" s="2" t="s">
        <v>1184</v>
      </c>
      <c r="H80" s="2">
        <v>3.7</v>
      </c>
      <c r="I80" s="2">
        <v>482</v>
      </c>
      <c r="J80" s="2">
        <v>44</v>
      </c>
      <c r="K80" s="6">
        <f t="shared" si="5"/>
        <v>139.9</v>
      </c>
      <c r="L80" s="6">
        <f t="shared" si="6"/>
        <v>183160</v>
      </c>
      <c r="M80" s="6" t="str">
        <f t="shared" si="7"/>
        <v>Sufficient</v>
      </c>
      <c r="N80" s="6" t="str">
        <f t="shared" si="8"/>
        <v>Average</v>
      </c>
      <c r="O80" s="6">
        <f t="shared" si="9"/>
        <v>67431.8</v>
      </c>
      <c r="R80"/>
    </row>
    <row r="81" spans="1:18" x14ac:dyDescent="0.3">
      <c r="A81" s="9" t="s">
        <v>1185</v>
      </c>
      <c r="B81" s="4" t="s">
        <v>48</v>
      </c>
      <c r="C81" s="4" t="s">
        <v>47</v>
      </c>
      <c r="D81" s="4">
        <v>320</v>
      </c>
      <c r="E81" s="4">
        <v>218.01</v>
      </c>
      <c r="F81" s="4">
        <v>31.9</v>
      </c>
      <c r="G81" s="4" t="s">
        <v>1180</v>
      </c>
      <c r="H81" s="4">
        <v>3.8</v>
      </c>
      <c r="I81" s="4">
        <v>222</v>
      </c>
      <c r="J81" s="4">
        <v>59</v>
      </c>
      <c r="K81" s="6">
        <f t="shared" si="5"/>
        <v>101.99000000000001</v>
      </c>
      <c r="L81" s="6">
        <f t="shared" si="6"/>
        <v>71040</v>
      </c>
      <c r="M81" s="6" t="str">
        <f t="shared" si="7"/>
        <v>Sufficient</v>
      </c>
      <c r="N81" s="6" t="str">
        <f t="shared" si="8"/>
        <v>Average</v>
      </c>
      <c r="O81" s="6">
        <f t="shared" si="9"/>
        <v>22641.780000000002</v>
      </c>
      <c r="R81"/>
    </row>
    <row r="82" spans="1:18" x14ac:dyDescent="0.3">
      <c r="R82"/>
    </row>
    <row r="83" spans="1:18" x14ac:dyDescent="0.3">
      <c r="R83"/>
    </row>
    <row r="84" spans="1:18" x14ac:dyDescent="0.3">
      <c r="R84"/>
    </row>
    <row r="85" spans="1:18" x14ac:dyDescent="0.3">
      <c r="R85"/>
    </row>
    <row r="86" spans="1:18" x14ac:dyDescent="0.3">
      <c r="R86"/>
    </row>
    <row r="87" spans="1:18" x14ac:dyDescent="0.3">
      <c r="R87"/>
    </row>
    <row r="88" spans="1:18" x14ac:dyDescent="0.3">
      <c r="R88"/>
    </row>
    <row r="89" spans="1:18" x14ac:dyDescent="0.3">
      <c r="R89"/>
    </row>
  </sheetData>
  <conditionalFormatting sqref="H1:H1048576">
    <cfRule type="iconSet" priority="3">
      <iconSet>
        <cfvo type="percent" val="0"/>
        <cfvo type="percent" val="33"/>
        <cfvo type="percent" val="67"/>
      </iconSet>
    </cfRule>
  </conditionalFormatting>
  <conditionalFormatting sqref="L1:L1048576">
    <cfRule type="colorScale" priority="1">
      <colorScale>
        <cfvo type="min"/>
        <cfvo type="percentile" val="50"/>
        <cfvo type="max"/>
        <color rgb="FFF8696B"/>
        <color rgb="FFFFEB84"/>
        <color rgb="FF63BE7B"/>
      </colorScale>
    </cfRule>
    <cfRule type="colorScale" priority="2">
      <colorScale>
        <cfvo type="min"/>
        <cfvo type="max"/>
        <color rgb="FFF8696B"/>
        <color rgb="FFFCFCFF"/>
      </colorScale>
    </cfRule>
  </conditionalFormatting>
  <conditionalFormatting sqref="M1:M1048576">
    <cfRule type="iconSet" priority="4">
      <iconSet>
        <cfvo type="percent" val="0"/>
        <cfvo type="percent" val="33"/>
        <cfvo type="percent" val="67"/>
      </iconSet>
    </cfRule>
    <cfRule type="dataBar" priority="5">
      <dataBar>
        <cfvo type="min"/>
        <cfvo type="max"/>
        <color rgb="FFFF555A"/>
      </dataBar>
      <extLst>
        <ext xmlns:x14="http://schemas.microsoft.com/office/spreadsheetml/2009/9/main" uri="{B025F937-C7B1-47D3-B67F-A62EFF666E3E}">
          <x14:id>{B1DD8AD8-B822-45F9-BC77-208383A2C299}</x14:id>
        </ext>
      </extLst>
    </cfRule>
  </conditionalFormatting>
  <pageMargins left="0.75" right="0.75" top="1" bottom="1" header="0.5" footer="0.5"/>
  <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B1DD8AD8-B822-45F9-BC77-208383A2C299}">
            <x14:dataBar minLength="0" maxLength="100" gradient="0">
              <x14:cfvo type="autoMin"/>
              <x14:cfvo type="autoMax"/>
              <x14:negativeFillColor rgb="FFFF0000"/>
              <x14:axisColor rgb="FF000000"/>
            </x14:dataBar>
          </x14:cfRule>
          <xm:sqref>M1:M1048576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8"/>
  <sheetViews>
    <sheetView workbookViewId="0">
      <selection activeCell="E27" sqref="E27"/>
    </sheetView>
  </sheetViews>
  <sheetFormatPr defaultRowHeight="14.4" x14ac:dyDescent="0.3"/>
  <cols>
    <col min="1" max="1" width="8.6640625" customWidth="1"/>
    <col min="2" max="2" width="8" customWidth="1"/>
    <col min="3" max="3" width="13.33203125" customWidth="1"/>
    <col min="4" max="4" width="14" customWidth="1"/>
    <col min="5" max="5" width="16" customWidth="1"/>
    <col min="6" max="6" width="18" customWidth="1"/>
    <col min="7" max="7" width="10.77734375" bestFit="1" customWidth="1"/>
    <col min="8" max="8" width="20.21875" bestFit="1" customWidth="1"/>
    <col min="9" max="9" width="18.44140625" bestFit="1" customWidth="1"/>
    <col min="10" max="10" width="16.5546875" customWidth="1"/>
    <col min="11" max="11" width="15.5546875" style="6" customWidth="1"/>
    <col min="12" max="12" width="22.6640625" style="6" customWidth="1"/>
    <col min="13" max="13" width="18.21875" style="6" customWidth="1"/>
    <col min="14" max="14" width="19.109375" style="6" customWidth="1"/>
    <col min="15" max="15" width="21.33203125" style="6" customWidth="1"/>
    <col min="16" max="18" width="8.88671875" style="6"/>
  </cols>
  <sheetData>
    <row r="1" spans="1:15" ht="24" customHeight="1" x14ac:dyDescent="0.3">
      <c r="A1" s="7" t="s">
        <v>1186</v>
      </c>
      <c r="B1" s="1" t="s">
        <v>1187</v>
      </c>
      <c r="C1" s="1" t="s">
        <v>1188</v>
      </c>
      <c r="D1" s="1" t="s">
        <v>842</v>
      </c>
      <c r="E1" s="1" t="s">
        <v>1189</v>
      </c>
      <c r="F1" s="1" t="s">
        <v>1190</v>
      </c>
      <c r="G1" s="1" t="s">
        <v>1191</v>
      </c>
      <c r="H1" s="1" t="s">
        <v>1192</v>
      </c>
      <c r="I1" s="1" t="s">
        <v>1193</v>
      </c>
      <c r="J1" s="1" t="s">
        <v>1194</v>
      </c>
      <c r="K1" s="11" t="s">
        <v>1243</v>
      </c>
      <c r="L1" s="11" t="s">
        <v>1244</v>
      </c>
      <c r="M1" s="11" t="s">
        <v>1245</v>
      </c>
      <c r="N1" s="11" t="s">
        <v>1246</v>
      </c>
      <c r="O1" s="11" t="s">
        <v>1247</v>
      </c>
    </row>
    <row r="2" spans="1:15" x14ac:dyDescent="0.3">
      <c r="A2" s="8" t="s">
        <v>1195</v>
      </c>
      <c r="B2" s="2">
        <v>2023</v>
      </c>
      <c r="C2" s="2" t="s">
        <v>1196</v>
      </c>
      <c r="D2" s="2">
        <v>48</v>
      </c>
      <c r="E2" s="2">
        <v>186983.24</v>
      </c>
      <c r="F2" s="2">
        <v>3895.48</v>
      </c>
      <c r="G2" s="2" t="s">
        <v>149</v>
      </c>
      <c r="H2" s="2">
        <v>25010.639999999999</v>
      </c>
      <c r="I2" s="2">
        <v>5</v>
      </c>
      <c r="J2" s="2">
        <v>14</v>
      </c>
      <c r="K2" s="6">
        <f>(I2/D2)*100</f>
        <v>10.416666666666668</v>
      </c>
      <c r="L2" s="6">
        <f>(J2/D2)*100</f>
        <v>29.166666666666668</v>
      </c>
      <c r="M2" s="6" t="str">
        <f>IF(E2&gt;200000,"High","Medium")</f>
        <v>Medium</v>
      </c>
      <c r="N2" s="6">
        <f>(H2/E2)*100</f>
        <v>13.375872618315951</v>
      </c>
      <c r="O2" s="6" t="str">
        <f>IF(K2&lt;5,"Good","Needs Improvement")</f>
        <v>Needs Improvement</v>
      </c>
    </row>
    <row r="3" spans="1:15" x14ac:dyDescent="0.3">
      <c r="A3" s="9" t="s">
        <v>1197</v>
      </c>
      <c r="B3" s="4">
        <v>2023</v>
      </c>
      <c r="C3" s="4" t="s">
        <v>1198</v>
      </c>
      <c r="D3" s="4">
        <v>40</v>
      </c>
      <c r="E3" s="4">
        <v>184562.26</v>
      </c>
      <c r="F3" s="4">
        <v>4614.0600000000004</v>
      </c>
      <c r="G3" s="4" t="s">
        <v>126</v>
      </c>
      <c r="H3" s="4">
        <v>12026.07</v>
      </c>
      <c r="I3" s="4">
        <v>1</v>
      </c>
      <c r="J3" s="4">
        <v>12</v>
      </c>
      <c r="K3" s="6">
        <f t="shared" ref="K3:K19" si="0">(I3/D3)*100</f>
        <v>2.5</v>
      </c>
      <c r="L3" s="6">
        <f t="shared" ref="L3:L19" si="1">(J3/D3)*100</f>
        <v>30</v>
      </c>
      <c r="M3" s="6" t="str">
        <f t="shared" ref="M3:M19" si="2">IF(E3&gt;200000,"High","Medium")</f>
        <v>Medium</v>
      </c>
      <c r="N3" s="6">
        <f t="shared" ref="N3:N19" si="3">(H3/E3)*100</f>
        <v>6.51599628223018</v>
      </c>
      <c r="O3" s="6" t="str">
        <f t="shared" ref="O3:O19" si="4">IF(K3&lt;5,"Good","Needs Improvement")</f>
        <v>Good</v>
      </c>
    </row>
    <row r="4" spans="1:15" x14ac:dyDescent="0.3">
      <c r="A4" s="8" t="s">
        <v>1199</v>
      </c>
      <c r="B4" s="2">
        <v>2023</v>
      </c>
      <c r="C4" s="2" t="s">
        <v>1200</v>
      </c>
      <c r="D4" s="2">
        <v>43</v>
      </c>
      <c r="E4" s="2">
        <v>215365.58</v>
      </c>
      <c r="F4" s="2">
        <v>5008.5</v>
      </c>
      <c r="G4" s="2" t="s">
        <v>20</v>
      </c>
      <c r="H4" s="2">
        <v>23159.32</v>
      </c>
      <c r="I4" s="2">
        <v>4</v>
      </c>
      <c r="J4" s="2">
        <v>16</v>
      </c>
      <c r="K4" s="6">
        <f t="shared" si="0"/>
        <v>9.3023255813953494</v>
      </c>
      <c r="L4" s="6">
        <f t="shared" si="1"/>
        <v>37.209302325581397</v>
      </c>
      <c r="M4" s="6" t="str">
        <f t="shared" si="2"/>
        <v>High</v>
      </c>
      <c r="N4" s="6">
        <f t="shared" si="3"/>
        <v>10.753491806815184</v>
      </c>
      <c r="O4" s="6" t="str">
        <f t="shared" si="4"/>
        <v>Needs Improvement</v>
      </c>
    </row>
    <row r="5" spans="1:15" x14ac:dyDescent="0.3">
      <c r="A5" s="9" t="s">
        <v>1201</v>
      </c>
      <c r="B5" s="4">
        <v>2023</v>
      </c>
      <c r="C5" s="4" t="s">
        <v>1202</v>
      </c>
      <c r="D5" s="4">
        <v>33</v>
      </c>
      <c r="E5" s="4">
        <v>181213.29</v>
      </c>
      <c r="F5" s="4">
        <v>5491.31</v>
      </c>
      <c r="G5" s="4" t="s">
        <v>149</v>
      </c>
      <c r="H5" s="4">
        <v>23373.58</v>
      </c>
      <c r="I5" s="4">
        <v>9</v>
      </c>
      <c r="J5" s="4">
        <v>15</v>
      </c>
      <c r="K5" s="6">
        <f t="shared" si="0"/>
        <v>27.27272727272727</v>
      </c>
      <c r="L5" s="6">
        <f t="shared" si="1"/>
        <v>45.454545454545453</v>
      </c>
      <c r="M5" s="6" t="str">
        <f t="shared" si="2"/>
        <v>Medium</v>
      </c>
      <c r="N5" s="6">
        <f t="shared" si="3"/>
        <v>12.898380687200151</v>
      </c>
      <c r="O5" s="6" t="str">
        <f t="shared" si="4"/>
        <v>Needs Improvement</v>
      </c>
    </row>
    <row r="6" spans="1:15" x14ac:dyDescent="0.3">
      <c r="A6" s="8" t="s">
        <v>1203</v>
      </c>
      <c r="B6" s="2">
        <v>2023</v>
      </c>
      <c r="C6" s="2" t="s">
        <v>1204</v>
      </c>
      <c r="D6" s="2">
        <v>43</v>
      </c>
      <c r="E6" s="2">
        <v>218695.85</v>
      </c>
      <c r="F6" s="2">
        <v>5085.95</v>
      </c>
      <c r="G6" s="2" t="s">
        <v>28</v>
      </c>
      <c r="H6" s="2">
        <v>19365.330000000002</v>
      </c>
      <c r="I6" s="2">
        <v>7</v>
      </c>
      <c r="J6" s="2">
        <v>8</v>
      </c>
      <c r="K6" s="6">
        <f t="shared" si="0"/>
        <v>16.279069767441861</v>
      </c>
      <c r="L6" s="6">
        <f t="shared" si="1"/>
        <v>18.604651162790699</v>
      </c>
      <c r="M6" s="6" t="str">
        <f t="shared" si="2"/>
        <v>High</v>
      </c>
      <c r="N6" s="6">
        <f t="shared" si="3"/>
        <v>8.8549142564890921</v>
      </c>
      <c r="O6" s="6" t="str">
        <f t="shared" si="4"/>
        <v>Needs Improvement</v>
      </c>
    </row>
    <row r="7" spans="1:15" x14ac:dyDescent="0.3">
      <c r="A7" s="9" t="s">
        <v>1205</v>
      </c>
      <c r="B7" s="4">
        <v>2023</v>
      </c>
      <c r="C7" s="4" t="s">
        <v>1206</v>
      </c>
      <c r="D7" s="4">
        <v>49</v>
      </c>
      <c r="E7" s="4">
        <v>173829.62</v>
      </c>
      <c r="F7" s="4">
        <v>3547.54</v>
      </c>
      <c r="G7" s="4" t="s">
        <v>126</v>
      </c>
      <c r="H7" s="4">
        <v>23603.78</v>
      </c>
      <c r="I7" s="4">
        <v>2</v>
      </c>
      <c r="J7" s="4">
        <v>4</v>
      </c>
      <c r="K7" s="6">
        <f t="shared" si="0"/>
        <v>4.0816326530612246</v>
      </c>
      <c r="L7" s="6">
        <f t="shared" si="1"/>
        <v>8.1632653061224492</v>
      </c>
      <c r="M7" s="6" t="str">
        <f t="shared" si="2"/>
        <v>Medium</v>
      </c>
      <c r="N7" s="6">
        <f t="shared" si="3"/>
        <v>13.578686992469983</v>
      </c>
      <c r="O7" s="6" t="str">
        <f t="shared" si="4"/>
        <v>Good</v>
      </c>
    </row>
    <row r="8" spans="1:15" x14ac:dyDescent="0.3">
      <c r="A8" s="8" t="s">
        <v>1207</v>
      </c>
      <c r="B8" s="2">
        <v>2023</v>
      </c>
      <c r="C8" s="2" t="s">
        <v>1208</v>
      </c>
      <c r="D8" s="2">
        <v>23</v>
      </c>
      <c r="E8" s="2">
        <v>106168.54</v>
      </c>
      <c r="F8" s="2">
        <v>4616.0200000000004</v>
      </c>
      <c r="G8" s="2" t="s">
        <v>149</v>
      </c>
      <c r="H8" s="2">
        <v>9968.2999999999993</v>
      </c>
      <c r="I8" s="2">
        <v>1</v>
      </c>
      <c r="J8" s="2">
        <v>13</v>
      </c>
      <c r="K8" s="6">
        <f t="shared" si="0"/>
        <v>4.3478260869565215</v>
      </c>
      <c r="L8" s="6">
        <f t="shared" si="1"/>
        <v>56.521739130434781</v>
      </c>
      <c r="M8" s="6" t="str">
        <f t="shared" si="2"/>
        <v>Medium</v>
      </c>
      <c r="N8" s="6">
        <f t="shared" si="3"/>
        <v>9.3891278904278046</v>
      </c>
      <c r="O8" s="6" t="str">
        <f t="shared" si="4"/>
        <v>Good</v>
      </c>
    </row>
    <row r="9" spans="1:15" x14ac:dyDescent="0.3">
      <c r="A9" s="9" t="s">
        <v>1209</v>
      </c>
      <c r="B9" s="4">
        <v>2023</v>
      </c>
      <c r="C9" s="4" t="s">
        <v>1210</v>
      </c>
      <c r="D9" s="4">
        <v>32</v>
      </c>
      <c r="E9" s="4">
        <v>93175.64</v>
      </c>
      <c r="F9" s="4">
        <v>2911.74</v>
      </c>
      <c r="G9" s="4" t="s">
        <v>54</v>
      </c>
      <c r="H9" s="4">
        <v>8577.94</v>
      </c>
      <c r="I9" s="4">
        <v>10</v>
      </c>
      <c r="J9" s="4">
        <v>11</v>
      </c>
      <c r="K9" s="6">
        <f t="shared" si="0"/>
        <v>31.25</v>
      </c>
      <c r="L9" s="6">
        <f t="shared" si="1"/>
        <v>34.375</v>
      </c>
      <c r="M9" s="6" t="str">
        <f t="shared" si="2"/>
        <v>Medium</v>
      </c>
      <c r="N9" s="6">
        <f t="shared" si="3"/>
        <v>9.2062045401566337</v>
      </c>
      <c r="O9" s="6" t="str">
        <f t="shared" si="4"/>
        <v>Needs Improvement</v>
      </c>
    </row>
    <row r="10" spans="1:15" x14ac:dyDescent="0.3">
      <c r="A10" s="8" t="s">
        <v>1211</v>
      </c>
      <c r="B10" s="2">
        <v>2023</v>
      </c>
      <c r="C10" s="2" t="s">
        <v>1212</v>
      </c>
      <c r="D10" s="2">
        <v>29</v>
      </c>
      <c r="E10" s="2">
        <v>141963</v>
      </c>
      <c r="F10" s="2">
        <v>4895.28</v>
      </c>
      <c r="G10" s="2" t="s">
        <v>149</v>
      </c>
      <c r="H10" s="2">
        <v>18615.72</v>
      </c>
      <c r="I10" s="2">
        <v>1</v>
      </c>
      <c r="J10" s="2">
        <v>17</v>
      </c>
      <c r="K10" s="6">
        <f t="shared" si="0"/>
        <v>3.4482758620689653</v>
      </c>
      <c r="L10" s="6">
        <f t="shared" si="1"/>
        <v>58.620689655172406</v>
      </c>
      <c r="M10" s="6" t="str">
        <f t="shared" si="2"/>
        <v>Medium</v>
      </c>
      <c r="N10" s="6">
        <f t="shared" si="3"/>
        <v>13.113078759958583</v>
      </c>
      <c r="O10" s="6" t="str">
        <f t="shared" si="4"/>
        <v>Good</v>
      </c>
    </row>
    <row r="11" spans="1:15" x14ac:dyDescent="0.3">
      <c r="A11" s="9" t="s">
        <v>1213</v>
      </c>
      <c r="B11" s="4">
        <v>2023</v>
      </c>
      <c r="C11" s="4" t="s">
        <v>1214</v>
      </c>
      <c r="D11" s="4">
        <v>55</v>
      </c>
      <c r="E11" s="4">
        <v>98595.17</v>
      </c>
      <c r="F11" s="4">
        <v>1792.64</v>
      </c>
      <c r="G11" s="4" t="s">
        <v>54</v>
      </c>
      <c r="H11" s="4">
        <v>7052.12</v>
      </c>
      <c r="I11" s="4">
        <v>1</v>
      </c>
      <c r="J11" s="4">
        <v>5</v>
      </c>
      <c r="K11" s="6">
        <f t="shared" si="0"/>
        <v>1.8181818181818181</v>
      </c>
      <c r="L11" s="6">
        <f t="shared" si="1"/>
        <v>9.0909090909090917</v>
      </c>
      <c r="M11" s="6" t="str">
        <f t="shared" si="2"/>
        <v>Medium</v>
      </c>
      <c r="N11" s="6">
        <f t="shared" si="3"/>
        <v>7.1526018972328966</v>
      </c>
      <c r="O11" s="6" t="str">
        <f t="shared" si="4"/>
        <v>Good</v>
      </c>
    </row>
    <row r="12" spans="1:15" x14ac:dyDescent="0.3">
      <c r="A12" s="8" t="s">
        <v>1215</v>
      </c>
      <c r="B12" s="2">
        <v>2023</v>
      </c>
      <c r="C12" s="2" t="s">
        <v>1216</v>
      </c>
      <c r="D12" s="2">
        <v>36</v>
      </c>
      <c r="E12" s="2">
        <v>212952.58</v>
      </c>
      <c r="F12" s="2">
        <v>5915.35</v>
      </c>
      <c r="G12" s="2" t="s">
        <v>91</v>
      </c>
      <c r="H12" s="2">
        <v>24489.93</v>
      </c>
      <c r="I12" s="2">
        <v>5</v>
      </c>
      <c r="J12" s="2">
        <v>4</v>
      </c>
      <c r="K12" s="6">
        <f t="shared" si="0"/>
        <v>13.888888888888889</v>
      </c>
      <c r="L12" s="6">
        <f t="shared" si="1"/>
        <v>11.111111111111111</v>
      </c>
      <c r="M12" s="6" t="str">
        <f t="shared" si="2"/>
        <v>High</v>
      </c>
      <c r="N12" s="6">
        <f t="shared" si="3"/>
        <v>11.500179993123352</v>
      </c>
      <c r="O12" s="6" t="str">
        <f t="shared" si="4"/>
        <v>Needs Improvement</v>
      </c>
    </row>
    <row r="13" spans="1:15" x14ac:dyDescent="0.3">
      <c r="A13" s="9" t="s">
        <v>1217</v>
      </c>
      <c r="B13" s="4">
        <v>2023</v>
      </c>
      <c r="C13" s="4" t="s">
        <v>1218</v>
      </c>
      <c r="D13" s="4">
        <v>35</v>
      </c>
      <c r="E13" s="4">
        <v>88890.14</v>
      </c>
      <c r="F13" s="4">
        <v>2539.7199999999998</v>
      </c>
      <c r="G13" s="4" t="s">
        <v>20</v>
      </c>
      <c r="H13" s="4">
        <v>9866.0400000000009</v>
      </c>
      <c r="I13" s="4">
        <v>10</v>
      </c>
      <c r="J13" s="4">
        <v>12</v>
      </c>
      <c r="K13" s="6">
        <f t="shared" si="0"/>
        <v>28.571428571428569</v>
      </c>
      <c r="L13" s="6">
        <f t="shared" si="1"/>
        <v>34.285714285714285</v>
      </c>
      <c r="M13" s="6" t="str">
        <f t="shared" si="2"/>
        <v>Medium</v>
      </c>
      <c r="N13" s="6">
        <f t="shared" si="3"/>
        <v>11.099138779621679</v>
      </c>
      <c r="O13" s="6" t="str">
        <f t="shared" si="4"/>
        <v>Needs Improvement</v>
      </c>
    </row>
    <row r="14" spans="1:15" x14ac:dyDescent="0.3">
      <c r="A14" s="8" t="s">
        <v>1195</v>
      </c>
      <c r="B14" s="2">
        <v>2024</v>
      </c>
      <c r="C14" s="2" t="s">
        <v>1219</v>
      </c>
      <c r="D14" s="2">
        <v>52</v>
      </c>
      <c r="E14" s="2">
        <v>195727.87</v>
      </c>
      <c r="F14" s="2">
        <v>3764</v>
      </c>
      <c r="G14" s="2" t="s">
        <v>149</v>
      </c>
      <c r="H14" s="2">
        <v>22825.85</v>
      </c>
      <c r="I14" s="2">
        <v>10</v>
      </c>
      <c r="J14" s="2">
        <v>4</v>
      </c>
      <c r="K14" s="6">
        <f t="shared" si="0"/>
        <v>19.230769230769234</v>
      </c>
      <c r="L14" s="6">
        <f t="shared" si="1"/>
        <v>7.6923076923076925</v>
      </c>
      <c r="M14" s="6" t="str">
        <f t="shared" si="2"/>
        <v>Medium</v>
      </c>
      <c r="N14" s="6">
        <f t="shared" si="3"/>
        <v>11.662033618411114</v>
      </c>
      <c r="O14" s="6" t="str">
        <f t="shared" si="4"/>
        <v>Needs Improvement</v>
      </c>
    </row>
    <row r="15" spans="1:15" x14ac:dyDescent="0.3">
      <c r="A15" s="9" t="s">
        <v>1197</v>
      </c>
      <c r="B15" s="4">
        <v>2024</v>
      </c>
      <c r="C15" s="4" t="s">
        <v>1220</v>
      </c>
      <c r="D15" s="4">
        <v>24</v>
      </c>
      <c r="E15" s="4">
        <v>207087.29</v>
      </c>
      <c r="F15" s="4">
        <v>8628.64</v>
      </c>
      <c r="G15" s="4" t="s">
        <v>28</v>
      </c>
      <c r="H15" s="4">
        <v>16754.330000000002</v>
      </c>
      <c r="I15" s="4">
        <v>8</v>
      </c>
      <c r="J15" s="4">
        <v>14</v>
      </c>
      <c r="K15" s="6">
        <f t="shared" si="0"/>
        <v>33.333333333333329</v>
      </c>
      <c r="L15" s="6">
        <f t="shared" si="1"/>
        <v>58.333333333333336</v>
      </c>
      <c r="M15" s="6" t="str">
        <f t="shared" si="2"/>
        <v>High</v>
      </c>
      <c r="N15" s="6">
        <f t="shared" si="3"/>
        <v>8.0904675511471531</v>
      </c>
      <c r="O15" s="6" t="str">
        <f t="shared" si="4"/>
        <v>Needs Improvement</v>
      </c>
    </row>
    <row r="16" spans="1:15" x14ac:dyDescent="0.3">
      <c r="A16" s="8" t="s">
        <v>1199</v>
      </c>
      <c r="B16" s="2">
        <v>2024</v>
      </c>
      <c r="C16" s="2" t="s">
        <v>1221</v>
      </c>
      <c r="D16" s="2">
        <v>42</v>
      </c>
      <c r="E16" s="2">
        <v>121095.99</v>
      </c>
      <c r="F16" s="2">
        <v>2883.24</v>
      </c>
      <c r="G16" s="2" t="s">
        <v>54</v>
      </c>
      <c r="H16" s="2">
        <v>13575.97</v>
      </c>
      <c r="I16" s="2">
        <v>9</v>
      </c>
      <c r="J16" s="2">
        <v>18</v>
      </c>
      <c r="K16" s="6">
        <f t="shared" si="0"/>
        <v>21.428571428571427</v>
      </c>
      <c r="L16" s="6">
        <f t="shared" si="1"/>
        <v>42.857142857142854</v>
      </c>
      <c r="M16" s="6" t="str">
        <f t="shared" si="2"/>
        <v>Medium</v>
      </c>
      <c r="N16" s="6">
        <f t="shared" si="3"/>
        <v>11.210916232651469</v>
      </c>
      <c r="O16" s="6" t="str">
        <f t="shared" si="4"/>
        <v>Needs Improvement</v>
      </c>
    </row>
    <row r="17" spans="1:15" x14ac:dyDescent="0.3">
      <c r="A17" s="9" t="s">
        <v>1201</v>
      </c>
      <c r="B17" s="4">
        <v>2024</v>
      </c>
      <c r="C17" s="4" t="s">
        <v>1222</v>
      </c>
      <c r="D17" s="4">
        <v>44</v>
      </c>
      <c r="E17" s="4">
        <v>68894.44</v>
      </c>
      <c r="F17" s="4">
        <v>1565.78</v>
      </c>
      <c r="G17" s="4" t="s">
        <v>20</v>
      </c>
      <c r="H17" s="4">
        <v>4388.0600000000004</v>
      </c>
      <c r="I17" s="4">
        <v>9</v>
      </c>
      <c r="J17" s="4">
        <v>18</v>
      </c>
      <c r="K17" s="6">
        <f t="shared" si="0"/>
        <v>20.454545454545457</v>
      </c>
      <c r="L17" s="6">
        <f t="shared" si="1"/>
        <v>40.909090909090914</v>
      </c>
      <c r="M17" s="6" t="str">
        <f t="shared" si="2"/>
        <v>Medium</v>
      </c>
      <c r="N17" s="6">
        <f t="shared" si="3"/>
        <v>6.3692512777518768</v>
      </c>
      <c r="O17" s="6" t="str">
        <f t="shared" si="4"/>
        <v>Needs Improvement</v>
      </c>
    </row>
    <row r="18" spans="1:15" x14ac:dyDescent="0.3">
      <c r="A18" s="8" t="s">
        <v>1203</v>
      </c>
      <c r="B18" s="2">
        <v>2024</v>
      </c>
      <c r="C18" s="2" t="s">
        <v>1223</v>
      </c>
      <c r="D18" s="2">
        <v>45</v>
      </c>
      <c r="E18" s="2">
        <v>74944.479999999996</v>
      </c>
      <c r="F18" s="2">
        <v>1665.43</v>
      </c>
      <c r="G18" s="2" t="s">
        <v>91</v>
      </c>
      <c r="H18" s="2">
        <v>7490.77</v>
      </c>
      <c r="I18" s="2">
        <v>1</v>
      </c>
      <c r="J18" s="2">
        <v>5</v>
      </c>
      <c r="K18" s="6">
        <f t="shared" si="0"/>
        <v>2.2222222222222223</v>
      </c>
      <c r="L18" s="6">
        <f t="shared" si="1"/>
        <v>11.111111111111111</v>
      </c>
      <c r="M18" s="6" t="str">
        <f t="shared" si="2"/>
        <v>Medium</v>
      </c>
      <c r="N18" s="6">
        <f t="shared" si="3"/>
        <v>9.9950923670429113</v>
      </c>
      <c r="O18" s="6" t="str">
        <f t="shared" si="4"/>
        <v>Good</v>
      </c>
    </row>
    <row r="19" spans="1:15" x14ac:dyDescent="0.3">
      <c r="A19" s="9" t="s">
        <v>1205</v>
      </c>
      <c r="B19" s="4">
        <v>2024</v>
      </c>
      <c r="C19" s="4" t="s">
        <v>1224</v>
      </c>
      <c r="D19" s="4">
        <v>54</v>
      </c>
      <c r="E19" s="4">
        <v>192902.26</v>
      </c>
      <c r="F19" s="4">
        <v>3572.26</v>
      </c>
      <c r="G19" s="4" t="s">
        <v>91</v>
      </c>
      <c r="H19" s="4">
        <v>16865.55</v>
      </c>
      <c r="I19" s="4">
        <v>10</v>
      </c>
      <c r="J19" s="4">
        <v>6</v>
      </c>
      <c r="K19" s="6">
        <f t="shared" si="0"/>
        <v>18.518518518518519</v>
      </c>
      <c r="L19" s="6">
        <f t="shared" si="1"/>
        <v>11.111111111111111</v>
      </c>
      <c r="M19" s="6" t="str">
        <f t="shared" si="2"/>
        <v>Medium</v>
      </c>
      <c r="N19" s="6">
        <f t="shared" si="3"/>
        <v>8.7430546433204039</v>
      </c>
      <c r="O19" s="6" t="str">
        <f t="shared" si="4"/>
        <v>Needs Improvement</v>
      </c>
    </row>
    <row r="21" spans="1:15" x14ac:dyDescent="0.3">
      <c r="J21">
        <f>500-196</f>
        <v>304</v>
      </c>
    </row>
    <row r="23" spans="1:15" x14ac:dyDescent="0.3">
      <c r="E23">
        <f>SUM(Table4[Total_Revenue])</f>
        <v>2763047.24</v>
      </c>
      <c r="G23" s="12" t="s">
        <v>1186</v>
      </c>
      <c r="H23" t="s">
        <v>1250</v>
      </c>
      <c r="I23" t="s">
        <v>1253</v>
      </c>
    </row>
    <row r="24" spans="1:15" x14ac:dyDescent="0.3">
      <c r="G24" s="13" t="s">
        <v>1195</v>
      </c>
      <c r="H24" s="14">
        <v>382711.11</v>
      </c>
      <c r="I24" s="28">
        <v>100</v>
      </c>
    </row>
    <row r="25" spans="1:15" x14ac:dyDescent="0.3">
      <c r="G25" s="13" t="s">
        <v>1197</v>
      </c>
      <c r="H25" s="14">
        <v>391649.55000000005</v>
      </c>
      <c r="I25" s="28">
        <v>64</v>
      </c>
    </row>
    <row r="26" spans="1:15" x14ac:dyDescent="0.3">
      <c r="G26" s="13" t="s">
        <v>1199</v>
      </c>
      <c r="H26" s="14">
        <v>336461.57</v>
      </c>
      <c r="I26" s="28">
        <v>85</v>
      </c>
    </row>
    <row r="27" spans="1:15" x14ac:dyDescent="0.3">
      <c r="G27" s="13" t="s">
        <v>1201</v>
      </c>
      <c r="H27" s="14">
        <v>250107.73</v>
      </c>
      <c r="I27" s="28">
        <v>77</v>
      </c>
    </row>
    <row r="28" spans="1:15" x14ac:dyDescent="0.3">
      <c r="G28" s="13" t="s">
        <v>1203</v>
      </c>
      <c r="H28" s="14">
        <v>293640.33</v>
      </c>
      <c r="I28" s="28">
        <v>88</v>
      </c>
    </row>
    <row r="29" spans="1:15" x14ac:dyDescent="0.3">
      <c r="G29" s="13" t="s">
        <v>1205</v>
      </c>
      <c r="H29" s="14">
        <v>366731.88</v>
      </c>
      <c r="I29" s="28">
        <v>103</v>
      </c>
    </row>
    <row r="30" spans="1:15" x14ac:dyDescent="0.3">
      <c r="G30" s="13" t="s">
        <v>1207</v>
      </c>
      <c r="H30" s="14">
        <v>106168.54</v>
      </c>
      <c r="I30" s="28">
        <v>23</v>
      </c>
    </row>
    <row r="31" spans="1:15" x14ac:dyDescent="0.3">
      <c r="G31" s="13" t="s">
        <v>1209</v>
      </c>
      <c r="H31" s="14">
        <v>93175.64</v>
      </c>
      <c r="I31" s="28">
        <v>32</v>
      </c>
    </row>
    <row r="32" spans="1:15" x14ac:dyDescent="0.3">
      <c r="G32" s="13" t="s">
        <v>1211</v>
      </c>
      <c r="H32" s="14">
        <v>141963</v>
      </c>
      <c r="I32" s="28">
        <v>29</v>
      </c>
    </row>
    <row r="33" spans="7:9" x14ac:dyDescent="0.3">
      <c r="G33" s="13" t="s">
        <v>1213</v>
      </c>
      <c r="H33" s="14">
        <v>98595.17</v>
      </c>
      <c r="I33" s="28">
        <v>55</v>
      </c>
    </row>
    <row r="34" spans="7:9" x14ac:dyDescent="0.3">
      <c r="G34" s="13" t="s">
        <v>1215</v>
      </c>
      <c r="H34" s="14">
        <v>212952.58</v>
      </c>
      <c r="I34" s="28">
        <v>36</v>
      </c>
    </row>
    <row r="35" spans="7:9" x14ac:dyDescent="0.3">
      <c r="G35" s="13" t="s">
        <v>1217</v>
      </c>
      <c r="H35" s="14">
        <v>88890.14</v>
      </c>
      <c r="I35" s="28">
        <v>35</v>
      </c>
    </row>
    <row r="36" spans="7:9" x14ac:dyDescent="0.3">
      <c r="G36" s="13" t="s">
        <v>1249</v>
      </c>
      <c r="H36" s="14">
        <v>2763047.24</v>
      </c>
      <c r="I36" s="28">
        <v>727</v>
      </c>
    </row>
    <row r="38" spans="7:9" x14ac:dyDescent="0.3">
      <c r="H38" s="15">
        <v>100000</v>
      </c>
    </row>
  </sheetData>
  <conditionalFormatting sqref="L1:L1048576">
    <cfRule type="iconSet" priority="1">
      <iconSet iconSet="3Symbols">
        <cfvo type="percent" val="0"/>
        <cfvo type="percent" val="33"/>
        <cfvo type="percent" val="67"/>
      </iconSet>
    </cfRule>
  </conditionalFormatting>
  <conditionalFormatting sqref="M1:M1048576">
    <cfRule type="colorScale" priority="3">
      <colorScale>
        <cfvo type="min"/>
        <cfvo type="percentile" val="50"/>
        <cfvo type="max"/>
        <color rgb="FF63BE7B"/>
        <color rgb="FFFFEB84"/>
        <color rgb="FFF8696B"/>
      </colorScale>
    </cfRule>
  </conditionalFormatting>
  <pageMargins left="0.75" right="0.75" top="1" bottom="1" header="0.5" footer="0.5"/>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2" id="{F4A34FB6-CF95-4F10-8406-CD6F46803D86}">
            <x14:iconSet iconSet="3Stars">
              <x14:cfvo type="percent">
                <xm:f>0</xm:f>
              </x14:cfvo>
              <x14:cfvo type="percent">
                <xm:f>33</xm:f>
              </x14:cfvo>
              <x14:cfvo type="percent">
                <xm:f>67</xm:f>
              </x14:cfvo>
            </x14:iconSet>
          </x14:cfRule>
          <xm:sqref>K1:K1048576</xm:sqref>
        </x14:conditionalFormatting>
      </x14:conditionalFormattings>
    </ex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B092C-CD18-40CC-BCFD-CE6FCED31A43}">
  <dimension ref="Z9"/>
  <sheetViews>
    <sheetView showGridLines="0" tabSelected="1" zoomScale="90" workbookViewId="0">
      <selection activeCell="Z3" sqref="Z3"/>
    </sheetView>
  </sheetViews>
  <sheetFormatPr defaultRowHeight="14.4" x14ac:dyDescent="0.3"/>
  <sheetData>
    <row r="9" spans="26:26" x14ac:dyDescent="0.3">
      <c r="Z9" s="2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Sales_Data</vt:lpstr>
      <vt:lpstr>Customer_Master</vt:lpstr>
      <vt:lpstr>Product_Master</vt:lpstr>
      <vt:lpstr>Monthly_Summary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Ezhilarasi K</cp:lastModifiedBy>
  <dcterms:created xsi:type="dcterms:W3CDTF">2026-06-10T05:20:14Z</dcterms:created>
  <dcterms:modified xsi:type="dcterms:W3CDTF">2026-06-14T12:35:37Z</dcterms:modified>
</cp:coreProperties>
</file>